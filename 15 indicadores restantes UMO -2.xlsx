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TICO 1" sheetId="1" r:id="rId5"/>
    <sheet state="visible" name="POLITICO 2" sheetId="2" r:id="rId6"/>
    <sheet state="visible" name="POLITICO 3" sheetId="3" r:id="rId7"/>
    <sheet state="visible" name="SOCIALcultural 1" sheetId="4" r:id="rId8"/>
    <sheet state="visible" name="Social cultural 2" sheetId="5" r:id="rId9"/>
    <sheet state="visible" name="social cultural 3" sheetId="6" r:id="rId10"/>
    <sheet state="visible" name="Tecnológico  Geográfico 1" sheetId="7" r:id="rId11"/>
    <sheet state="visible" name="Tecnológico  Geográfico 2" sheetId="8" r:id="rId12"/>
    <sheet state="visible" name="Tecnológico  Geográfico 3" sheetId="9" r:id="rId13"/>
    <sheet state="visible" name="comercio internacional 1" sheetId="10" r:id="rId14"/>
    <sheet state="visible" name="comercio internacional 2" sheetId="11" r:id="rId15"/>
    <sheet state="visible" name="comercio internacional 3" sheetId="12" r:id="rId16"/>
    <sheet state="visible" name="Inversión Extranjera 1" sheetId="13" r:id="rId17"/>
    <sheet state="visible" name="Inversión Extranjera 2" sheetId="14" r:id="rId18"/>
    <sheet state="visible" name="Inversión Extranjera 3" sheetId="15" r:id="rId19"/>
  </sheets>
  <definedNames/>
  <calcPr/>
</workbook>
</file>

<file path=xl/sharedStrings.xml><?xml version="1.0" encoding="utf-8"?>
<sst xmlns="http://schemas.openxmlformats.org/spreadsheetml/2006/main" count="197" uniqueCount="137">
  <si>
    <t>Certeza Jurídica y Contractual (Convención de Viena - CISG)</t>
  </si>
  <si>
    <r>
      <rPr>
        <rFont val="Arial"/>
        <b/>
        <color theme="1"/>
      </rPr>
      <t>¿Que mide este indicador?:</t>
    </r>
    <r>
      <rPr>
        <rFont val="Arial"/>
        <color theme="1"/>
      </rPr>
      <t xml:space="preserve"> Este indicador mide el nivel de protección
 legal que tiene una empresa al exportar. Evalúa si el estado aplica la
 Convención de Viena (CISG), la cual estandariza las reglas de los
 contratos internacionales de mercancías (calidad, entrega, pagos)
 para que la empresa no tenga que lidiar con leyes locales desconocidas.</t>
    </r>
  </si>
  <si>
    <t xml:space="preserve">Market Viability Score </t>
  </si>
  <si>
    <t>Missouri: 5</t>
  </si>
  <si>
    <t>Oklahoma: 4.8</t>
  </si>
  <si>
    <t>Referencias:</t>
  </si>
  <si>
    <t>https://cisg.bilgi.edu.tr/en/sayfa/cisg-text/
https://www.suin-juriscol.gov.co/viewDocument.asp?id=1661223</t>
  </si>
  <si>
    <t>Strategic Analysis:</t>
  </si>
  <si>
    <t>Missouri: Al ser un centro logístico masivo, la aplicación de esta norma federal da a UMO la tranquilidad de que, si un cliente reclama por calidad, el proceso se resuelve con reglas internacionales claras, evitando gastos en abogados expertos en leyes estatales específicas de Missouri.
Oklahoma: El beneficio es idéntico. Permite que UMO se concentre en la parte comercial y técnica del sillín, eliminando la barrera del "miedo legal" al entrar a un mercado nuevo en EE. UU.
Este indicador actúa como una "autopista jurídica". Para UMO, significa que puede vender sus sillines de poliuretano en ambos estados usando sus contratos estándar ya validados en Colombia bajo la Ley 518 de 1999.</t>
  </si>
  <si>
    <t>Per Capita Personal Income</t>
  </si>
  <si>
    <r>
      <rPr>
        <rFont val="Arial"/>
        <b/>
        <color theme="1"/>
      </rPr>
      <t xml:space="preserve">¿Qué mide este indicador?: </t>
    </r>
    <r>
      <rPr>
        <rFont val="Arial"/>
        <color theme="1"/>
      </rPr>
      <t>Mide el ahorro económico 
directo para el comprador final. Determina si el estado
 cobra o no impuesto al consumo (Sales Tax) sobre los
 repuestos de maquinaria agrícola. Un impuesto de 0%
 hace que el producto sea automáticamente más barato 
para el granjero.</t>
    </r>
  </si>
  <si>
    <t>Oklahoma: 4.1</t>
  </si>
  <si>
    <t xml:space="preserve">Referencias: </t>
  </si>
  <si>
    <t>https://law.justia.com/codes/oklahoma/title-68/section-68-1357v4/
https://dor.mo.gov/taxation/business/tax-types/sales-use/exemptions.php?tab1=&amp;clas=4&amp;sub_class=</t>
  </si>
  <si>
    <t>Missouri (RSMo 144.030): El estado exime el 100% del impuesto. Para UMO, esto se traduce en que sus sillines llegan al mostrador siendo un 4.22% más baratos para el granjero de Missouri. Es una ventaja competitiva "regalada" por la ley estatal.
Oklahoma (68 O.S. § 1357): Oklahoma también ofrece esta exención total. Esto es vital para UMO porque sus sillines ergonómicos de alta calidad suelen ser más costosos que los básicos; al quitar el impuesto, el precio final se equilibra y el granjero prefiere la ergonomía de UMO.
Este indicador es una herramienta de venta porque UMO puede decirle a sus distribuidores que sus sillines son Tax Free por ley, lo que les da una ventaja de precio inmediata frente a cualquier sillín de uso general que no clasifique como parte agrícola.</t>
  </si>
  <si>
    <t xml:space="preserve">RPP (Regional Price Parities) (Costo del entorno) </t>
  </si>
  <si>
    <t xml:space="preserve">Año </t>
  </si>
  <si>
    <t>Missouri</t>
  </si>
  <si>
    <t>Oklahoma</t>
  </si>
  <si>
    <t>Oklahoma: 4,83</t>
  </si>
  <si>
    <t>(para el 2024 usamos beurou y para el resto los de fred)</t>
  </si>
  <si>
    <t>N/D</t>
  </si>
  <si>
    <t>https://fred.stlouisfed.org/series/MORPPALL</t>
  </si>
  <si>
    <t>https://fred.stlouisfed.org/series/RPPALL36420</t>
  </si>
  <si>
    <t>(para el 2024 usamos el site de Bureou y para el resto de los años el de fred)</t>
  </si>
  <si>
    <t>Según el gráfico, el indicador RPP permite comparar el nivel de precios de cada estado frente al promedio de Estados Unidos (100). Entre 2021 y 2024, tanto Missouri como Oklahoma se mantienen por debajo de este nivel, lo que indica que ambos estados son relativamente más económicos.
Sin embargo, Oklahoma presenta valores ligeramente más bajos, lo que significa que es más barato. Aun así, Missouri se encuentra apenas por encima, lo cual puede interpretarse de manera positiva. Un nivel de precios un poco más alto suele estar asociado a una economía más dinámica, con mayor capacidad de consumo y un mercado más desarrollado.
En términos de internacionalización, aunque un entorno más económico puede reducir costos, un mercado con mayor nivel de precios como Missouri puede ofrecer mejores oportunidades comerciales, ya que refleja mayor poder adquisitivo y mayor disposición al gasto. Por ello, esta ligera diferencia posiciona a Missouri como un mercado potencialmente más atractivo para UMO.</t>
  </si>
  <si>
    <r>
      <rPr>
        <rFont val="Arial"/>
        <b/>
        <color theme="1"/>
      </rPr>
      <t xml:space="preserve">¿Que mide este indicador? </t>
    </r>
    <r>
      <rPr>
        <rFont val="Arial"/>
        <color theme="1"/>
      </rPr>
      <t xml:space="preserve">
Mide cuánta gente es dueña de su casa. Nos interesa porque un propietario tiene jardín, y quien tiene jardín necesita podadora que es el equipo al que UMO le vende el sillín.
</t>
    </r>
  </si>
  <si>
    <t>Tasa de Propietarios de Vivienda (Homeownership Rate)</t>
  </si>
  <si>
    <t>Oklahoma: 4,7</t>
  </si>
  <si>
    <t>https://fred.stlouisfed.org/series/MOHOWN</t>
  </si>
  <si>
    <t>https://fred.stlouisfed.org/series/OKHOWN</t>
  </si>
  <si>
    <t>La tasa de propietarios de vivienda es un indicador base para UMO: un propietario con jardín es el cliente directo de una podadora rider y por ende del sillín. Missouri mantiene un promedio del 70.2% (2021–2025), consistentemente por encima del promedio nacional de 65.6%. Esto representa una base de clientes potenciales estable y amplia para un producto aftermarket como el sillín UMO.
Oklahoma muestra una tasa media de 66.8%, también sobre el promedio nacional, pero con tendencia a la baja desde 2022 (caída a 63.8% en 2025). Sin embargo, Oklahoma compensa con un boom de nuevas construcciones (+163% post-2020 en OKC), lo que genera nuevos propietarios con jardines que necesitan equiparse.
Cruce macroeconómico: El costo de vida más bajo en ambos estados permite que más hogares de ingreso medio accedan a la propiedad de vivienda versus estados costeros. Esto amplía directamente el mercado potencial para UMO.
RECOMENDACIÓN: Missouri como mercado de entrada por base más alta y estable.</t>
  </si>
  <si>
    <t>Cultura aftermarket</t>
  </si>
  <si>
    <r>
      <rPr>
        <rFont val="Arial"/>
        <b/>
        <color theme="1"/>
      </rPr>
      <t>¿Que mide este indicador?</t>
    </r>
    <r>
      <rPr>
        <rFont val="Arial"/>
        <color theme="1"/>
      </rPr>
      <t xml:space="preserve"> Mide qué tan acostumbrada está la gente a comprar accesorios o repuestos adicionales para sus equipos. Nos interesa porque el sillín de UMO no viene con la podadora, se compra aparte como una mejora.</t>
    </r>
  </si>
  <si>
    <t xml:space="preserve">Missouri: alta </t>
  </si>
  <si>
    <t>Oklahoma: muy alta</t>
  </si>
  <si>
    <t>https://www.iseecars.com/which-states-drive-the-most-pickup-trucks-study</t>
  </si>
  <si>
    <t>https://www.oscar-wilson.com/</t>
  </si>
  <si>
    <t>https://www.mikeslawnequipment.com/</t>
  </si>
  <si>
    <t>UMO no va a vender el sillín junto con la podadora — lo va a vender aparte, como un accesorio de mejora. Entonces necesitábamos saber: ¿en cuál estado la gente está más acostumbrada a comprar piezas y accesorios adicionales para sus equipos? A eso le llamamos cultura aftermarket.                                                                                                                                   Lo primero que miramos fue cuántas camionetas pickup hay en cada estado, porque los estudios muestran que el dueño de pickup es exactamente el mismo perfil de persona que compra una podadora rider y que además le gusta personalizarla o mejorarla. En Oklahoma, casi 1 de cada 5 carros es una pickup, lo que lo pone por encima del promedio nacional y por encima de Missouri. Eso nos dice que en Oklahoma la gente ya tiene esa mentalidad de "le meto accesorios a mis equipos".
En Missouri, en cambio, lo que encontramos fue algo muy valioso para UMO desde el lado del negocio: ya existe una red de distribución de repuestos para equipo de jardín muy desarrollada. Por ejemplo, hay un distribuidor llamado Oscar Wilson que tiene una bodega enorme y trabaja con más de 40 marcas. Eso significa que UMO podría entrar más fácil al mercado mayorista por Missouri.                                                                                                                                                             Si UMO quiere vender volumen y encontrar clientes que ya están dispuestos a comprar accesorios para sus equipos, Oklahoma es el estado con mayor potencial. Pero si quiere entrar de forma más organizada, con una red de distribución ya lista, Missouri es la mejor puerta de entrada.</t>
  </si>
  <si>
    <t>Adopción de Podadoras Eléctricas y Cultura de Sostenibilidad</t>
  </si>
  <si>
    <r>
      <rPr>
        <rFont val="Arial"/>
        <b/>
        <color theme="1"/>
      </rPr>
      <t>¿Que mide este indicador?</t>
    </r>
    <r>
      <rPr>
        <rFont val="Arial"/>
        <color theme="1"/>
      </rPr>
      <t>Mide qué tanto está creciendo el uso de podadoras eléctricas en cada estado. Nos interesa porque si la gente no tiene podadora eléctrica, no hay mercado para el sillín de UMO.</t>
    </r>
  </si>
  <si>
    <t>Missouri: alta</t>
  </si>
  <si>
    <t>https://www.factmr.com/report/north-america-electric-lawn-mower-market</t>
  </si>
  <si>
    <t>https://www.mordorintelligence.com/industry-reports/united-states-lawn-mowers-market</t>
  </si>
  <si>
    <t>https://www.grandviewresearch.com/industry-analysis/lawn-mowers-market</t>
  </si>
  <si>
    <t>El mercado de podadoras eléctricas en Norteamérica cerró 2024 en casi 6 mil millones de dólares y se espera que crezca más del 10% anual hasta 2028. Este crecimiento refleja un cambio cultural hacia la sostenibilidad: cada vez más consumidores prefieren equipos eléctricos porque generan menos ruido, no emiten gases y tienen menor huella ambiental. Esto le abre una ventana importante a UMO, ya que posiciona el sillín no solo como un accesorio de confort sino como parte de un ecosistema sostenible.
Entre los dos estados, Oklahoma tiene la ventaja más clara: su temporada de corte dura 9 a 10 meses al año versus 6 o 7 en Missouri, lo que significa mayor frecuencia de uso, mayor desgaste del sillín y mayor necesidad de reemplazarlo. Además, el calor hace que la tecnología Thermoliner de UMO sea especialmente útil allá. Missouri, por su parte, tiene zonas suburbanas en crecimiento en Kansas City y St. Louis, con nuevos propietarios comprando podadoras por primera vez.
En conclusión, Oklahoma es donde el producto de UMO tiene más sentido por clima, cultura y sostenibilidad. Missouri es el mercado estable ideal para entrar sin tanto riesgo.</t>
  </si>
  <si>
    <t>Annual Vehicle Miles of Travel</t>
  </si>
  <si>
    <r>
      <rPr>
        <rFont val="Arial"/>
        <b/>
        <color theme="1"/>
      </rPr>
      <t xml:space="preserve">¿Que es ese indicador? </t>
    </r>
    <r>
      <rPr>
        <rFont val="Arial"/>
        <color theme="1"/>
      </rPr>
      <t>Annual Vehicle Miles of Travel dice cuántas millas recorrieron los vehículos en Missouri y Oklahoma durante un año. Sirve para ver cuál estado tiene más movimiento vial, más circulación y más actividad en carretera. Si un estado tiene más movimiento vial, puede indicar que hay más circulación entre ciudades, más actividad comercial y una red de carreteras más usada. Eso puede facilitar que distribuidores, tiendas de repuestos y dealers reciban inventario, hagan reposición y conecten con clientes en diferentes zonas.
Pero ojo: no te dice cuántos sillines, repuestos o mercancía se movieron. Tampoco separa si fueron carros particulares, camiones o vehículos comerciales. Por eso es un indicador indirecto.</t>
    </r>
  </si>
  <si>
    <t>Año</t>
  </si>
  <si>
    <t xml:space="preserve">Missouri: </t>
  </si>
  <si>
    <t xml:space="preserve">Oklahoma: </t>
  </si>
  <si>
    <t>https://www.fhwa.dot.gov/policyinformation/statistics/2019/vm2.cfm?utm_</t>
  </si>
  <si>
    <t>https://www.fhwa.dot.gov/policyinformation/statistics/2022/vm2.cfm</t>
  </si>
  <si>
    <t>Los datos de 2020 y 2021 salen de FHWA Highway Statistics VM-2</t>
  </si>
  <si>
    <t>Los datos de 2022 y 2023 salen de la misma tabla VM-2 de FHWA para esos años.</t>
  </si>
  <si>
    <t>El indicador de actividad vial y dinamismo de movilidad comercial muestra una ventaja clara para Missouri frente a Oklahoma. Según la Federal Highway Administration, la tabla mide las millas anuales recorridas por vehículos en cada estado, lo que permite comparar el nivel de movimiento vial con una misma fuente oficial. 
Para UMO, esto puede impactar positivamente el proceso de internacionalización porque su entrada al mercado estadounidense dependería de abastecer distribuidores, tiendas de repuestos y dealers aftermarket, no de vender directamente a fincas. 
Un mayor movimiento vial puede reflejar más circulación comercial y mejores condiciones para reposición de inventario. Sin embargo, este indicador debe interpretarse como aproximación indirecta, ya que no mide carga específica. Aun así, Missouri ofrece una ventaja logística inicial.En el periodo 2020–2023, Missouri mantiene un volumen de tránsito mucho mayor que Oklahoma. Esto muestra que Missouri tiene una red vial con mayor actividad y flujo de movimiento, lo cual es relevante para UMO porque su estrategia no depende de vender directamente a fincas, sino de llegar a los distribuidores, tiendas de repuestos y dealers aftermarket.</t>
  </si>
  <si>
    <t>Internet Access on Farms</t>
  </si>
  <si>
    <t>¿Que mide? Pregunta directamente a los agricultores si tienen acceso a internet. Perfecto para UMO porque mide si el cliente potencial puede comprar repuestos online (canal e-commerce).</t>
  </si>
  <si>
    <t>Variable</t>
  </si>
  <si>
    <t>(basado en el dato de granjas con acceso a internet)</t>
  </si>
  <si>
    <t>Granjas con acceso a internet</t>
  </si>
  <si>
    <t>Missouri: 5.</t>
  </si>
  <si>
    <t>% sobre total de granjas</t>
  </si>
  <si>
    <t>Oklahoma: 3.92</t>
  </si>
  <si>
    <t>Total granjas</t>
  </si>
  <si>
    <t xml:space="preserve">Granjas sin acceso a internet </t>
  </si>
  <si>
    <t>Dato Missouri 75.9% (2022) y 72.5% (2017): USDA NASS, Missouri State Press Release — 2022 Census of Agriculture, publicado febrero 13, 2024. → morningagclips.com citando directamente el comunicado oficial de NASS Missouri</t>
  </si>
  <si>
    <t>Dato Oklahoma 78% (2022): Oklahoma Farm Report — "2022 Census of Agriculture Results with USDA State Statistician Troy Marshall", febrero 14, 2024. → oklahomafarmreport.com, entrevista directa al estadístico estatal de USDA NASS Oklahoma</t>
  </si>
  <si>
    <t>El indicador Internet Access on Farms muestra qué tan preparado está cada estado para que los clientes rurales participen en canales digitales de compra. 
Según el Census of Agriculture 2022, Missouri registra 70,016 granjas con acceso a internet, mientras Oklahoma tiene 54,895. 
Esta diferencia favorece a Missouri porque ofrece una base más amplia de clientes agrícolas conectados. Para UMO, esto es importante porque el canal aftermarket de repuestos en Estados Unidos funciona cada vez más por e-commerce, marketplaces como Amazon y páginas especializadas de partes. Un agricultor o usuario de maquinaria con internet puede buscar, comparar y comprar sillines de reemplazo sin depender de un distribuidor físico cercano. Esto reduce barreras de entrada para una empresa internacional y facilita llegar a clientes en zonas rurales. Por eso, Missouri presenta una ventaja tecnológica y comercial más clara para la internacionalización de UMO.</t>
  </si>
  <si>
    <t xml:space="preserve">El canal aftermarket de repuestos en EE.UU. es principalmente e-commerce (Amazon, sitios especializados). Un agricultor con internet puede encontrar y comprar sillines UMO sin depender de un distribuidor físico cercano.
</t>
  </si>
  <si>
    <t>Number of Farms &amp; Pastureland (2022)</t>
  </si>
  <si>
    <t>¿Que mide? Mide cuántas granjas hay y cuánta tierra de pasto tiene cada estado, para saber dónde se usan más máquinas de corte y mantenimiento de terrenos. Esto ayuda a ver dónde podría haber más necesidad de repuestos como los sillines de UMO.</t>
  </si>
  <si>
    <t>(basado en # de granjas), ya que pastureland favorece a Oklahoma, pero mide más la intensidad de uso del terreno, no necesariamente la cantidad de compradores. En cambio, el número de granjas mide mejor el tamaño del mercado potencial.</t>
  </si>
  <si>
    <t># de granjas</t>
  </si>
  <si>
    <t>Total land in farms (acres)</t>
  </si>
  <si>
    <t>Oklahoma: 4.00</t>
  </si>
  <si>
    <t>Pastureland (acres)</t>
  </si>
  <si>
    <t>Avg. farm size (acres)</t>
  </si>
  <si>
    <r>
      <rPr>
        <rFont val="Arial"/>
        <b/>
        <color theme="1"/>
      </rPr>
      <t>Referencias</t>
    </r>
    <r>
      <rPr>
        <rFont val="Arial"/>
        <color theme="1"/>
      </rPr>
      <t>: USDA NASS, 2022 Census of Agriculture.
nass.usda.gov/AgCensus — mismo año, misma metodología para ambos estados.</t>
    </r>
  </si>
  <si>
    <t>Todos los datos salen del mismo documento: USDA NASS, 2022 Census of Agriculture — State Profile Pages para Missouri (cp99029) y Oklahoma (cp99040). Misma fuente, mismo año, misma metodología.</t>
  </si>
  <si>
    <t xml:space="preserve">Strategic Analysis: </t>
  </si>
  <si>
    <t>El indicador Number of Farms &amp; Pastureland muestra dos tipos de oportunidad para UMO, pero por razones diferentes. Missouri tiene una base más amplia de posibles compradores finales y más unidades productivas que podrían necesitar repuestos para maquinaria de mantenimiento. 
En cambio, Oklahoma tiene menos granjas, pero mucha más tierra de pastura. 
Esto indica que sus operaciones pueden ser más extensas, y que podrían requerir más uso continuo de maquinaria para mantener potreros, accesos y terrenos amplios. 
Para UMO, Missouri representa una oportunidad por volumen de clientes potenciales, mientras Oklahoma representa una oportunidad por intensidad de uso del equipo. En términos de entrada al mercado, Missouri parece más atractivo por cantidad de compradores, pero Oklahoma no debe descartarse por desgaste operativo.</t>
  </si>
  <si>
    <t>Missouri tiene más granjas, entonces hay más cantidad de posibles clientes. Oklahoma tiene menos granjas, pero muchísima más tierra de pastura, entonces sus operaciones pueden ser más grandes y con más uso intensivo de maquinaria.</t>
  </si>
  <si>
    <t xml:space="preserve">Volumen de Importaciones de Maquinaria Agrícola </t>
  </si>
  <si>
    <r>
      <rPr>
        <rFont val="Arial"/>
        <b/>
        <color theme="1"/>
      </rPr>
      <t>¿Que es este indicador?</t>
    </r>
    <r>
      <rPr>
        <rFont val="Arial"/>
        <color theme="1"/>
      </rPr>
      <t xml:space="preserve"> Mide la entrada de maquinaria y partes agrícolas al estado. Indica el nivel de demanda y apertura del mercado a productos del exterior.</t>
    </r>
  </si>
  <si>
    <t>$24.10 B</t>
  </si>
  <si>
    <t>$17.00 B</t>
  </si>
  <si>
    <t>Missouri: 5.0 / 5</t>
  </si>
  <si>
    <t xml:space="preserve">$27.30 B	</t>
  </si>
  <si>
    <t>$18.50 B</t>
  </si>
  <si>
    <t>Oklahoma: 3.69 / 5</t>
  </si>
  <si>
    <t>$24.20 B</t>
  </si>
  <si>
    <t>$17.80 B</t>
  </si>
  <si>
    <t>$17.90 B</t>
  </si>
  <si>
    <t>https://www.census.gov/foreign-trade/statistics/state/index.html</t>
  </si>
  <si>
    <t>Missouri presenta un volumen de importaciones significativamente mayor que Oklahoma en todos los años analizados (2021–2024), con cifras que oscilan entre $24 y $27 mil millones frente a los $17–18 mil millones de Oklahoma. Esto refleja un mercado más amplio, con mayor actividad de distribución y compra de bienes del exterior.
Para UMO, un mayor volumen de importaciones totales indica que el estado ya tiene infraestructura logística establecida para recibir productos manufacturados desde el exterior — incluidos los componentes que UMO importa desde China (apoyabrazos y cinturón de seguridad). Missouri ofrece condiciones más favorables para integrarse a cadenas de suministro existentes y llegar a distribuidores de maquinaria agrícola y dealers aftermarket. Oklahoma, aunque más pequeño, también es un mercado activo pero con menor escala de entrada.</t>
  </si>
  <si>
    <t xml:space="preserve">Export Intensity / Trade Openness </t>
  </si>
  <si>
    <r>
      <rPr>
        <rFont val="Arial"/>
        <b/>
        <color theme="1"/>
      </rPr>
      <t>¿Que es este indicador?</t>
    </r>
    <r>
      <rPr>
        <rFont val="Arial"/>
        <color theme="1"/>
      </rPr>
      <t xml:space="preserve"> Mide qué tan integrada está la economía estatal con el comercio exterior. Se calcula como exportaciones de bienes como % del PIB estatal.</t>
    </r>
  </si>
  <si>
    <t>Missouri (% PIB)</t>
  </si>
  <si>
    <t>Oklahoma (% PIB)</t>
  </si>
  <si>
    <t>Oklahoma: 3.37 / 5</t>
  </si>
  <si>
    <r>
      <rPr>
        <color rgb="FF1155CC"/>
        <u/>
      </rPr>
      <t>https://ustr.gov/map/state-benefits/mo</t>
    </r>
    <r>
      <rPr>
        <color rgb="FF1F1F1F"/>
      </rPr>
      <t xml:space="preserve">
</t>
    </r>
    <r>
      <rPr>
        <color rgb="FF1155CC"/>
        <u/>
      </rPr>
      <t>https://ustr.gov/map/state-benefits/ok</t>
    </r>
    <r>
      <rPr>
        <color rgb="FF1F1F1F"/>
      </rPr>
      <t xml:space="preserve">
</t>
    </r>
    <r>
      <rPr>
        <color rgb="FF1155CC"/>
        <u/>
      </rPr>
      <t>https://www.bea.gov/data/gdp/gdp-state</t>
    </r>
  </si>
  <si>
    <t>Missouri mantiene una apertura comercial entre el 3.7% y el 4.3% de su PIB durante el período 2021–2024, aproximadamente el doble de lo que registra Oklahoma (2.5%–2.9%). Según el U.S. Trade Representative, las exportaciones de Missouri en 2024 llegaron a $19.3 mil millones (4.3% del PIB), mientras que Oklahoma alcanzó $7.8 mil millones (2.9% del PIB). Esto sitúa a Missouri como el estado 26° exportador del país, frente al puesto 37° de Oklahoma.
Para UMO, una mayor apertura comercial indica que Missouri tiene una economía más expuesta y acostumbrada a los flujos internacionales de bienes. Esto facilita la entrada de un producto importado como los sillines, reduce barreras informales de adopción por parte de distribuidores locales, y aumenta la probabilidad de que los compradores industriales ya tengan experiencia trabajando con proveedores extranjeros. Oklahoma, siendo una economía menos orientada al comercio exterior, puede representar mayor fricción inicial para un proveedor colombiano nuevo.</t>
  </si>
  <si>
    <t xml:space="preserve">Número de Distribuidores / Dealers de Equipos Agrícolas </t>
  </si>
  <si>
    <r>
      <rPr>
        <rFont val="Arial"/>
        <b/>
        <color theme="1"/>
      </rPr>
      <t>¿Que es este indicador?</t>
    </r>
    <r>
      <rPr>
        <rFont val="Arial"/>
        <color theme="1"/>
      </rPr>
      <t xml:space="preserve"> Mide el tamaño de la red de venta y posventa de maquinaria agrícola. Indica cuántos distribuidores potenciales existen en cada estado.
</t>
    </r>
  </si>
  <si>
    <t>Fuente/ metrica</t>
  </si>
  <si>
    <t>Tractor Zoom (dealers en red, 2025)</t>
  </si>
  <si>
    <t>Missouri: Alto</t>
  </si>
  <si>
    <t>Empresas exportadoras (Census, 2023)</t>
  </si>
  <si>
    <t>Oklahoma: Medio</t>
  </si>
  <si>
    <t>Ranking ag. exports (USDA, 2023)</t>
  </si>
  <si>
    <t>8°</t>
  </si>
  <si>
    <t>25°</t>
  </si>
  <si>
    <t>Ag. exports totales (USDA, 2023/24)</t>
  </si>
  <si>
    <t>$5.6 B</t>
  </si>
  <si>
    <t>$2.0 B</t>
  </si>
  <si>
    <r>
      <rPr>
        <color rgb="FF1155CC"/>
        <u/>
      </rPr>
      <t>https://data.census.gov</t>
    </r>
    <r>
      <rPr>
        <color rgb="FF1F1F1F"/>
      </rPr>
      <t xml:space="preserve">
</t>
    </r>
    <r>
      <rPr>
        <color rgb="FF1155CC"/>
        <u/>
      </rPr>
      <t>https://ustr.gov/map/state-benefits/mo</t>
    </r>
    <r>
      <rPr>
        <color rgb="FF1F1F1F"/>
      </rPr>
      <t xml:space="preserve">
</t>
    </r>
    <r>
      <rPr>
        <color rgb="FF1155CC"/>
        <u/>
      </rPr>
      <t>https://ustr.gov/map/state-benefits/ok</t>
    </r>
    <r>
      <rPr>
        <color rgb="FF1F1F1F"/>
      </rPr>
      <t xml:space="preserve">
</t>
    </r>
    <r>
      <rPr>
        <color rgb="FF1155CC"/>
        <u/>
      </rPr>
      <t>https://www.nass.usda.gov/AgCensus</t>
    </r>
  </si>
  <si>
    <t>Missouri supera ampliamente a Oklahoma en todos los indicadores relacionados con la red de distribución agrícola. Con 99 dealers de maquinaria registrados frente a 46 en Oklahoma (según Tractor Zoom, 2025), Missouri ofrece más del doble de puntos de contacto potenciales para comercializar los sillines de UMO. Adicionalmente, Missouri es el 8° estado exportador agrícola del país con $5.6 mil millones en productos agropecuarios exportados (USDA, 2023), lo que refleja un sector agrícola mucho más activo y con mayor demanda de equipos.
Para UMO, cuyo modelo de entrada al mercado estadounidense depende de llegar a distribuidores, tiendas de repuestos y dealers aftermarket (y no vender directamente a fincas), la densidad de la red de distribución es crítica. Missouri ofrece una red más grande, más diversa y con mayor volumen de negocio agrícola. Oklahoma, aunque posee un sector agropecuario relevante (ganadería, cereales), tiene una red de dealers aproximadamente la mitad del tamaño, lo que limitaría el alcance comercial inicial de UMO.</t>
  </si>
  <si>
    <t>Incentivos a la expansion</t>
  </si>
  <si>
    <r>
      <rPr>
        <rFont val="Arial"/>
        <b/>
        <color theme="1"/>
      </rPr>
      <t>¿Que es este indicador?:</t>
    </r>
    <r>
      <rPr>
        <rFont val="Arial"/>
        <color theme="1"/>
      </rPr>
      <t xml:space="preserve"> Mide programas estatales de apoyo a expansión/retención mediante créditos fiscales, retención de withholding tax, reembolsos en efectivo o beneficios vinculados a empleo e inversión.</t>
    </r>
  </si>
  <si>
    <r>
      <rPr>
        <rFont val="Arial"/>
        <b/>
        <color theme="1"/>
      </rPr>
      <t xml:space="preserve">Market Viability Score 
</t>
    </r>
    <r>
      <rPr>
        <rFont val="Arial"/>
        <color theme="1"/>
      </rPr>
      <t>Missouri: 5
Oklahoma: 4.3</t>
    </r>
  </si>
  <si>
    <r>
      <rPr>
        <b/>
      </rPr>
      <t xml:space="preserve">Referencias:
</t>
    </r>
    <r>
      <rPr>
        <color rgb="FF1155CC"/>
        <u/>
      </rPr>
      <t>https://ded.mo.gov/programs/business/missouri-works</t>
    </r>
    <r>
      <rPr/>
      <t xml:space="preserve">
</t>
    </r>
    <r>
      <rPr>
        <color rgb="FF1155CC"/>
        <u/>
      </rPr>
      <t>https://oksenate.gov/sites/default/files/2023-11/Dept.%20of%20Commerce%20Quality%20Jobs%20Briefing%2010.3.2023.pdf</t>
    </r>
  </si>
  <si>
    <t>En Missouri, Missouri Works puede dar a la empresa retención del 100% del withholding tax estatal sobre los nuevos empleos por 5 años, o 6 si ya lleva 10+ años operando en Missouri; además, en tiers como Statewide Works, el beneficio es retener el impuesto sobre nómina y en Mega Works puede subir a 6% o 7% del nuevo payroll según el nivel salarial. Eso ayuda porque baja el costo neto de contratar y de montar una operación local, algo muy útil para una firma colombiana que quiera abrir bodega, ensamble o distribución.
En Oklahoma, el Quality Jobs Program puede pagar hasta 5% de la nómina nueva gravable en efectivo, con pagos trimestrales, por hasta 10 años; el umbral general es llegar a $2.5 millones de nueva nómina anual en 3 años, aunque algunos sectores pueden bajar a $1.5 millones. Esto ayuda a UMO porque mejora la caja en los primeros años de instalación y reduce el costo efectivo de crear empleo local, especialmente si la operación entra como manufactura o actividad industrial elegible.
La lógica de “ayuda” es simple: ambos programas premian inversión nueva y empleo nuevo, justo lo que necesita UMO si decide instalarse. El único “obstáculo” es que obligan a cumplir requisitos de salario, empleo, nómina e industria; pero si UMO ya planea una operación productiva real, esos requisitos son más bien condiciones de acceso al beneficio, no barreras estructurales.</t>
  </si>
  <si>
    <t>Sectores receptores de IED</t>
  </si>
  <si>
    <r>
      <rPr>
        <rFont val="var(--pplx-sans), ui-sans-serif, system-ui, -apple-system, BlinkMacSystemFont, &quot;Segoe UI&quot;, Roboto, Helvetica Neue, Arial, &quot;Noto Sans&quot;, var(--pplx-cjk-sans), sans-serif, &quot;Apple Color Emoji&quot;, &quot;Segoe UI Emoji&quot;, &quot;Segoe UI Symbol&quot;, &quot;Noto Color Emoji&quot;"/>
        <b/>
        <color rgb="FF27251E"/>
      </rPr>
      <t xml:space="preserve">¿Que es este indicador?: </t>
    </r>
    <r>
      <rPr>
        <rFont val="var(--pplx-sans), ui-sans-serif, system-ui, -apple-system, BlinkMacSystemFont, &quot;Segoe UI&quot;, Roboto, Helvetica Neue, Arial, &quot;Noto Sans&quot;, var(--pplx-cjk-sans), sans-serif, &quot;Apple Color Emoji&quot;, &quot;Segoe UI Emoji&quot;, &quot;Segoe UI Symbol&quot;, &quot;Noto Color Emoji&quot;"/>
        <color rgb="FF27251E"/>
      </rPr>
      <t>Mide la distribución 
de proyectos anunciados y/o empleo/capital FDI
 por actividad económica, especialmente manufactura,
 equipo industrial, software, alimentos, biotecnología y AgTech.</t>
    </r>
  </si>
  <si>
    <t>Market Viability Score 
Missouri: 4.6
Oklahoma: 5</t>
  </si>
  <si>
    <r>
      <rPr>
        <b/>
      </rPr>
      <t xml:space="preserve">Referencias: 
</t>
    </r>
    <r>
      <rPr>
        <color rgb="FF1155CC"/>
        <u/>
      </rPr>
      <t>https://www.trade.gov/sites/default/files/2023-09/Missouri.pdf</t>
    </r>
    <r>
      <rPr/>
      <t xml:space="preserve">
</t>
    </r>
    <r>
      <rPr>
        <color rgb="FF1155CC"/>
        <u/>
      </rPr>
      <t>https://digitalprairie.ok.gov/digital/api/collection/stgovpub/id/731411/download
https://www.trade.gov/sites/default/files/2023-09/Oklahoma.pdf</t>
    </r>
  </si>
  <si>
    <t>Missouri muestra una base industrial más amplia para UMO: el perfil estatal de SelectUSA reporta 134,300 empleos en afiliadas extranjeras y 57,000 empleos en manufactura. Eso significa que UMO podría entrar como proveedor de sillines agrícolas a una red ya existente de compradores industriales, ensambladores y fabricantes, en vez de empezar desde cero. Además, Missouri Works puede ayudar porque reduce el costo de abrir o expandir operación mediante beneficios ligados a nuevos empleos e inversión.
Para UMO, Missouri es ayuda porque combina mercado, manufactura y programa de incentivo. La cifra de empleo FDI en manufactura sugiere que hay clientes potenciales y ecosistema productivo; el incentivo suma porque mejora el retorno de contratar personal local o montar bodega, ensamblaje o distribución.
Oklahoma tiene una señal más concentrada en manufactura: su Global Report 2024 indica 608 empresas internacionales, 64,700 empleos en compañías de capital extranjero, 80% de esos empleos en manufactura, y $3.6 mil millones de inversión FDI en los últimos cinco años. Para UMO, eso es valioso porque confirma una base industrial real donde sus productos pueden venderse a OEMs o integrarse en cadenas de suministro manufactureras.
Además, el Quality Jobs Program refuerza el caso porque puede devolver hasta 5% de la nueva nómina elegible en efectivo durante hasta 10 años, lo que mejora caja si UMO decide instalar planta, ensamble o centro operativo. Por eso Oklahoma también es ayuda, especialmente si UMO busca una operación más productiva que comercial.</t>
  </si>
  <si>
    <t>Flujo de capital extranjero industrial</t>
  </si>
  <si>
    <r>
      <rPr>
        <rFont val="var(--pplx-sans), ui-sans-serif, system-ui, -apple-system, BlinkMacSystemFont, &quot;Segoe UI&quot;, Roboto, Helvetica Neue, Arial, &quot;Noto Sans&quot;, var(--pplx-cjk-sans), sans-serif, &quot;Apple Color Emoji&quot;, &quot;Segoe UI Emoji&quot;, &quot;Segoe UI Symbol&quot;, &quot;Noto Color Emoji&quot;"/>
        <b/>
        <color rgb="FF27251E"/>
      </rPr>
      <t>¿Que es este indicador?:</t>
    </r>
    <r>
      <rPr>
        <rFont val="var(--pplx-sans), ui-sans-serif, system-ui, -apple-system, BlinkMacSystemFont, &quot;Segoe UI&quot;, Roboto, Helvetica Neue, Arial, &quot;Noto Sans&quot;, var(--pplx-cjk-sans), sans-serif, &quot;Apple Color Emoji&quot;, &quot;Segoe UI Emoji&quot;, &quot;Segoe UI Symbol&quot;, &quot;Noto Color Emoji&quot;"/>
        <color rgb="FF27251E"/>
      </rPr>
      <t xml:space="preserve"> 
Mide el valor de la posición/inversión extranjera directa por industria,
 es decir, el stock de inversión y su distribución sectorial;
 BEA define IED como inversión con 10% o más de propiedad.</t>
    </r>
  </si>
  <si>
    <r>
      <rPr>
        <rFont val="Arial"/>
        <b/>
        <color theme="1"/>
      </rPr>
      <t xml:space="preserve">Market Viability Score 
</t>
    </r>
    <r>
      <rPr>
        <rFont val="Arial"/>
        <color theme="1"/>
      </rPr>
      <t>Missouri: 5
Oklahoma: 4.1</t>
    </r>
  </si>
  <si>
    <t>Categoría de Datos</t>
  </si>
  <si>
    <t>Empleo total por IED</t>
  </si>
  <si>
    <r>
      <rPr>
        <color rgb="FF1155CC"/>
        <u/>
      </rPr>
      <t>https://www.bea.gov/data/intl-trade-investment/direct-investment-country-and-industry</t>
    </r>
    <r>
      <rPr/>
      <t xml:space="preserve">
</t>
    </r>
    <r>
      <rPr>
        <color rgb="FF1155CC"/>
        <u/>
      </rPr>
      <t>https://www.trade.gov/sites/default/files/2023-09/Missouri.pdf</t>
    </r>
    <r>
      <rPr/>
      <t xml:space="preserve">
</t>
    </r>
    <r>
      <rPr>
        <color rgb="FF1155CC"/>
        <u/>
      </rPr>
      <t>https://digitalprairie.ok.gov/digital/api/collection/stgovpub/id/731411/download</t>
    </r>
  </si>
  <si>
    <t xml:space="preserve">Empleo en manufactura </t>
  </si>
  <si>
    <t xml:space="preserve">Missouri: reporta una base industrial de gran escala y diversificación. Este entorno resulta altamente positivo para UMO debido a la abundancia de compradores potenciales y la presencia de empresas industriales ya instaladas que facilitan la inserción como proveedor de OEMs o distribuidores activos.  
Ventaja: Posee un ecosistema más robusto con 134,300 empleos ligados a capital extranjero.
Reto: El mercado amplio representa un desafío competitivo, exigiendo una diferenciación estratégica frente a proveedores locales y extranjeros ya integrados.  
Se perfila como la mejor opción para ingresar mediante un modelo de venta B2B, aprovechando una red productiva madura y consolidada.
Oklahoma: presenta una especialización sumamente favorable, con un notable 80.00% de su empleo por IED concentrado en el sector de manufactura. Esto indica una estructura productiva alineada con plantas y cadenas de suministro compatibles con los requerimientos de UMO. 
Ventaja: Ha atraído $3.56 mil millones ($3.56 billion) en capital extranjero en los últimos cinco años, demostrando un entorno dinámico y receptivo. 
Reto: El volumen total de empleo FDI es inferior al de Missouri (64,700 vs 134,300), sugiriendo un mercado más reducido en términos absolutos.
Es la opción más atractiva para instalarse o realizar ensamble local, ya que la alta densidad manufacturera ofrece un entorno de operación más directo.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</si>
</sst>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1">
    <font>
      <sz val="10.0"/>
      <color rgb="FF000000"/>
      <name val="Arial"/>
      <scheme val="minor"/>
    </font>
    <font>
      <b/>
      <color theme="1"/>
      <name val="Arial"/>
      <scheme val="minor"/>
    </font>
    <font>
      <color theme="1"/>
      <name val="Arial"/>
      <scheme val="minor"/>
    </font>
    <font>
      <u/>
      <color rgb="FF1155CC"/>
    </font>
    <font>
      <b/>
      <sz val="11.0"/>
      <color theme="1"/>
      <name val="Arial"/>
      <scheme val="minor"/>
    </font>
    <font>
      <b/>
      <sz val="12.0"/>
      <color theme="1"/>
      <name val="Arial"/>
      <scheme val="minor"/>
    </font>
    <font>
      <sz val="10.0"/>
      <color theme="1"/>
      <name val="Arial"/>
      <scheme val="minor"/>
    </font>
    <font>
      <u/>
      <color rgb="FF0000FF"/>
    </font>
    <font>
      <u/>
      <color rgb="FF0000FF"/>
    </font>
    <font>
      <sz val="9.0"/>
      <color rgb="FF000000"/>
      <name val="&quot;Arial&quot;"/>
    </font>
    <font>
      <color rgb="FF000000"/>
      <name val="Arial"/>
    </font>
    <font>
      <u/>
      <color rgb="FF0000FF"/>
    </font>
    <font>
      <color theme="1"/>
      <name val="Var(--pplx-answer)"/>
    </font>
    <font>
      <color rgb="FF000000"/>
      <name val="Var(--pplx-answer)"/>
    </font>
    <font>
      <u/>
      <color rgb="FF0000FF"/>
    </font>
    <font>
      <b/>
      <sz val="12.0"/>
      <color rgb="FF000000"/>
      <name val="Arial"/>
    </font>
    <font>
      <sz val="11.0"/>
      <color rgb="FF000000"/>
      <name val="Calibri"/>
    </font>
    <font>
      <u/>
      <color rgb="FF0000FF"/>
    </font>
    <font>
      <b/>
      <sz val="18.0"/>
      <color theme="1"/>
      <name val="Arial"/>
      <scheme val="minor"/>
    </font>
    <font>
      <color rgb="FF27251E"/>
      <name val="Var(--pplx-sans)"/>
    </font>
    <font>
      <color rgb="FF000000"/>
      <name val="Var(--pplx-sans)"/>
    </font>
  </fonts>
  <fills count="5">
    <fill>
      <patternFill patternType="none"/>
    </fill>
    <fill>
      <patternFill patternType="lightGray"/>
    </fill>
    <fill>
      <patternFill patternType="solid">
        <fgColor rgb="FFF9CB9C"/>
        <bgColor rgb="FFF9CB9C"/>
      </patternFill>
    </fill>
    <fill>
      <patternFill patternType="solid">
        <fgColor theme="0"/>
        <bgColor theme="0"/>
      </patternFill>
    </fill>
    <fill>
      <patternFill patternType="solid">
        <fgColor rgb="FFFDFBFA"/>
        <bgColor rgb="FFFDFBFA"/>
      </patternFill>
    </fill>
  </fills>
  <borders count="9">
    <border/>
    <border>
      <left style="thin">
        <color rgb="FF000000"/>
      </left>
      <right style="thin">
        <color rgb="FF000000"/>
      </right>
      <top style="thin">
        <color rgb="FF000000"/>
      </top>
      <bottom style="thin">
        <color rgb="FF000000"/>
      </bottom>
    </border>
    <border>
      <left style="thin">
        <color rgb="FF1A3557"/>
      </left>
      <top style="thin">
        <color rgb="FF1A3557"/>
      </top>
      <bottom style="thin">
        <color rgb="FF1A3557"/>
      </bottom>
    </border>
    <border>
      <top style="thin">
        <color rgb="FF1A3557"/>
      </top>
      <bottom style="thin">
        <color rgb="FF1A3557"/>
      </bottom>
    </border>
    <border>
      <right style="thin">
        <color rgb="FF1A3557"/>
      </right>
      <top style="thin">
        <color rgb="FF1A3557"/>
      </top>
      <bottom style="thin">
        <color rgb="FF1A3557"/>
      </bottom>
    </border>
    <border>
      <left style="thin">
        <color rgb="FF000000"/>
      </left>
      <right style="thin">
        <color rgb="FF000000"/>
      </right>
      <top style="thin">
        <color rgb="FF000000"/>
      </top>
    </border>
    <border>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0" fontId="1"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horizontal="center" readingOrder="0"/>
    </xf>
    <xf borderId="0" fillId="0" fontId="2" numFmtId="0" xfId="0" applyAlignment="1" applyFont="1">
      <alignment readingOrder="0"/>
    </xf>
    <xf borderId="0" fillId="0" fontId="4" numFmtId="0" xfId="0" applyAlignment="1" applyFont="1">
      <alignment horizontal="center" readingOrder="0" shrinkToFit="0" wrapText="1"/>
    </xf>
    <xf borderId="0" fillId="0" fontId="5" numFmtId="0" xfId="0" applyAlignment="1" applyFont="1">
      <alignment horizontal="center" readingOrder="0"/>
    </xf>
    <xf borderId="1" fillId="2" fontId="2" numFmtId="0" xfId="0" applyAlignment="1" applyBorder="1" applyFill="1" applyFont="1">
      <alignment readingOrder="0"/>
    </xf>
    <xf borderId="1" fillId="0" fontId="6" numFmtId="0" xfId="0" applyAlignment="1" applyBorder="1" applyFont="1">
      <alignment horizontal="right" readingOrder="0"/>
    </xf>
    <xf borderId="0" fillId="0" fontId="7" numFmtId="0" xfId="0" applyAlignment="1" applyFont="1">
      <alignment horizontal="left" readingOrder="0" shrinkToFit="0" wrapText="1"/>
    </xf>
    <xf borderId="0" fillId="0" fontId="8"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1" fillId="2" fontId="1" numFmtId="0" xfId="0" applyAlignment="1" applyBorder="1" applyFont="1">
      <alignment readingOrder="0"/>
    </xf>
    <xf borderId="1" fillId="3" fontId="6" numFmtId="0" xfId="0" applyAlignment="1" applyBorder="1" applyFill="1" applyFont="1">
      <alignment horizontal="right" readingOrder="0"/>
    </xf>
    <xf borderId="0" fillId="3" fontId="9" numFmtId="2" xfId="0" applyAlignment="1" applyFont="1" applyNumberFormat="1">
      <alignment readingOrder="0" vertical="center"/>
    </xf>
    <xf borderId="1" fillId="3" fontId="10" numFmtId="2" xfId="0" applyAlignment="1" applyBorder="1" applyFont="1" applyNumberFormat="1">
      <alignment readingOrder="0" vertical="center"/>
    </xf>
    <xf borderId="1" fillId="3" fontId="10" numFmtId="0" xfId="0" applyAlignment="1" applyBorder="1" applyFont="1">
      <alignment readingOrder="0" vertical="center"/>
    </xf>
    <xf borderId="0" fillId="0" fontId="11" numFmtId="0" xfId="0" applyAlignment="1" applyFont="1">
      <alignment readingOrder="0"/>
    </xf>
    <xf borderId="0" fillId="0" fontId="12" numFmtId="0" xfId="0" applyAlignment="1" applyFont="1">
      <alignment readingOrder="0" shrinkToFit="0" wrapText="1"/>
    </xf>
    <xf borderId="0" fillId="0" fontId="13" numFmtId="0" xfId="0" applyAlignment="1" applyFont="1">
      <alignment shrinkToFit="0" wrapText="1"/>
    </xf>
    <xf borderId="0" fillId="0" fontId="2" numFmtId="0" xfId="0" applyAlignment="1" applyFont="1">
      <alignment readingOrder="0" shrinkToFit="0" vertical="center" wrapText="1"/>
    </xf>
    <xf borderId="0" fillId="0" fontId="14" numFmtId="0" xfId="0" applyAlignment="1" applyFont="1">
      <alignment readingOrder="0"/>
    </xf>
    <xf borderId="2" fillId="3" fontId="15" numFmtId="0" xfId="0" applyAlignment="1" applyBorder="1" applyFont="1">
      <alignment horizontal="left" readingOrder="0" shrinkToFit="0" wrapText="0"/>
    </xf>
    <xf borderId="3" fillId="3" fontId="15" numFmtId="0" xfId="0" applyAlignment="1" applyBorder="1" applyFont="1">
      <alignment horizontal="left" readingOrder="0" shrinkToFit="0" wrapText="0"/>
    </xf>
    <xf borderId="4" fillId="3" fontId="15" numFmtId="0" xfId="0" applyAlignment="1" applyBorder="1" applyFont="1">
      <alignment horizontal="left" readingOrder="0" shrinkToFit="0" wrapText="0"/>
    </xf>
    <xf borderId="0" fillId="0" fontId="16" numFmtId="0" xfId="0" applyAlignment="1" applyFont="1">
      <alignment shrinkToFit="0" vertical="bottom" wrapText="0"/>
    </xf>
    <xf borderId="0" fillId="0" fontId="2" numFmtId="3" xfId="0" applyAlignment="1" applyFont="1" applyNumberFormat="1">
      <alignment horizontal="center" readingOrder="0"/>
    </xf>
    <xf borderId="0" fillId="0" fontId="17" numFmtId="0" xfId="0" applyAlignment="1" applyFont="1">
      <alignment readingOrder="0"/>
    </xf>
    <xf borderId="1" fillId="2" fontId="2" numFmtId="0" xfId="0" applyAlignment="1" applyBorder="1" applyFont="1">
      <alignment horizontal="center" readingOrder="0"/>
    </xf>
    <xf borderId="1" fillId="0" fontId="2" numFmtId="0" xfId="0" applyAlignment="1" applyBorder="1" applyFont="1">
      <alignment horizontal="center" readingOrder="0"/>
    </xf>
    <xf borderId="1" fillId="0" fontId="2" numFmtId="3" xfId="0" applyAlignment="1" applyBorder="1" applyFont="1" applyNumberFormat="1">
      <alignment horizontal="center" readingOrder="0"/>
    </xf>
    <xf borderId="0" fillId="0" fontId="18" numFmtId="0" xfId="0" applyFont="1"/>
    <xf borderId="0" fillId="0" fontId="18" numFmtId="0" xfId="0" applyAlignment="1" applyFont="1">
      <alignment readingOrder="0"/>
    </xf>
    <xf borderId="0" fillId="0" fontId="4" numFmtId="0" xfId="0" applyAlignment="1" applyFont="1">
      <alignment horizontal="center" readingOrder="0"/>
    </xf>
    <xf borderId="1" fillId="2" fontId="1" numFmtId="0" xfId="0" applyAlignment="1" applyBorder="1" applyFont="1">
      <alignment horizontal="center" readingOrder="0"/>
    </xf>
    <xf borderId="0" fillId="0" fontId="2" numFmtId="9" xfId="0" applyAlignment="1" applyFont="1" applyNumberFormat="1">
      <alignment horizontal="center" readingOrder="0"/>
    </xf>
    <xf borderId="0" fillId="0" fontId="2" numFmtId="9" xfId="0" applyAlignment="1" applyFont="1" applyNumberFormat="1">
      <alignment readingOrder="0"/>
    </xf>
    <xf borderId="0" fillId="0" fontId="2" numFmtId="10" xfId="0" applyAlignment="1" applyFont="1" applyNumberFormat="1">
      <alignment readingOrder="0"/>
    </xf>
    <xf borderId="5" fillId="0" fontId="2" numFmtId="0" xfId="0" applyAlignment="1" applyBorder="1" applyFont="1">
      <alignment horizontal="center" readingOrder="0"/>
    </xf>
    <xf borderId="5" fillId="0" fontId="2" numFmtId="3" xfId="0" applyAlignment="1" applyBorder="1" applyFont="1" applyNumberFormat="1">
      <alignment horizontal="center" readingOrder="0"/>
    </xf>
    <xf borderId="6" fillId="0" fontId="2" numFmtId="0" xfId="0" applyAlignment="1" applyBorder="1" applyFont="1">
      <alignment horizontal="center" readingOrder="0"/>
    </xf>
    <xf borderId="6" fillId="0" fontId="2" numFmtId="9" xfId="0" applyAlignment="1" applyBorder="1" applyFont="1" applyNumberFormat="1">
      <alignment horizontal="center" readingOrder="0"/>
    </xf>
    <xf borderId="6" fillId="0" fontId="2" numFmtId="3" xfId="0" applyAlignment="1" applyBorder="1" applyFont="1" applyNumberFormat="1">
      <alignment horizontal="center" readingOrder="0"/>
    </xf>
    <xf borderId="6" fillId="0" fontId="2" numFmtId="0" xfId="0" applyBorder="1" applyFont="1"/>
    <xf borderId="1" fillId="0" fontId="2" numFmtId="10" xfId="0" applyAlignment="1" applyBorder="1" applyFont="1" applyNumberFormat="1">
      <alignment horizontal="center" readingOrder="0"/>
    </xf>
    <xf borderId="5" fillId="0" fontId="2" numFmtId="10" xfId="0" applyAlignment="1" applyBorder="1" applyFont="1" applyNumberFormat="1">
      <alignment horizontal="center" readingOrder="0"/>
    </xf>
    <xf borderId="0" fillId="0" fontId="2" numFmtId="0" xfId="0" applyAlignment="1" applyFont="1">
      <alignment horizontal="center" readingOrder="0" vertical="top"/>
    </xf>
    <xf borderId="7" fillId="4" fontId="19" numFmtId="0" xfId="0" applyAlignment="1" applyBorder="1" applyFill="1" applyFont="1">
      <alignment readingOrder="0"/>
    </xf>
    <xf borderId="0" fillId="4" fontId="20" numFmtId="0" xfId="0" applyFont="1"/>
    <xf borderId="8" fillId="4" fontId="19" numFmtId="0" xfId="0" applyAlignment="1" applyBorder="1" applyFont="1">
      <alignment readingOrder="0"/>
    </xf>
    <xf borderId="0" fillId="0" fontId="2"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OCIALcultural 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Comparative Analysis of Cost Environment (RPP) in Missouri and Oklahoma (2021–2024)</a:t>
            </a:r>
          </a:p>
        </c:rich>
      </c:tx>
      <c:overlay val="0"/>
    </c:title>
    <c:plotArea>
      <c:layout/>
      <c:lineChart>
        <c:ser>
          <c:idx val="0"/>
          <c:order val="0"/>
          <c:tx>
            <c:strRef>
              <c:f>'POLITICO 3'!$B$4</c:f>
            </c:strRef>
          </c:tx>
          <c:spPr>
            <a:ln cmpd="sng">
              <a:solidFill>
                <a:srgbClr val="4285F4"/>
              </a:solidFill>
            </a:ln>
          </c:spPr>
          <c:marker>
            <c:symbol val="none"/>
          </c:marker>
          <c:cat>
            <c:strRef>
              <c:f>'POLITICO 3'!$A$5:$A$8</c:f>
            </c:strRef>
          </c:cat>
          <c:val>
            <c:numRef>
              <c:f>'POLITICO 3'!$B$5:$B$8</c:f>
              <c:numCache/>
            </c:numRef>
          </c:val>
          <c:smooth val="0"/>
        </c:ser>
        <c:ser>
          <c:idx val="1"/>
          <c:order val="1"/>
          <c:tx>
            <c:strRef>
              <c:f>'POLITICO 3'!$C$4</c:f>
            </c:strRef>
          </c:tx>
          <c:spPr>
            <a:ln cmpd="sng">
              <a:solidFill>
                <a:srgbClr val="EA4335"/>
              </a:solidFill>
            </a:ln>
          </c:spPr>
          <c:marker>
            <c:symbol val="none"/>
          </c:marker>
          <c:cat>
            <c:strRef>
              <c:f>'POLITICO 3'!$A$5:$A$8</c:f>
            </c:strRef>
          </c:cat>
          <c:val>
            <c:numRef>
              <c:f>'POLITICO 3'!$C$5:$C$8</c:f>
              <c:numCache/>
            </c:numRef>
          </c:val>
          <c:smooth val="0"/>
        </c:ser>
        <c:axId val="1646372103"/>
        <c:axId val="1076310602"/>
      </c:lineChart>
      <c:catAx>
        <c:axId val="1646372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layout>
            <c:manualLayout>
              <c:xMode val="edge"/>
              <c:yMode val="edge"/>
              <c:x val="0.11595247395833333"/>
              <c:y val="0.9203504043126682"/>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076310602"/>
      </c:catAx>
      <c:valAx>
        <c:axId val="1076310602"/>
        <c:scaling>
          <c:orientation val="minMax"/>
        </c:scaling>
        <c:delete val="0"/>
        <c:axPos val="l"/>
        <c:majorGridlines>
          <c:spPr>
            <a:ln>
              <a:solidFill>
                <a:srgbClr val="B7B7B7"/>
              </a:solidFill>
            </a:ln>
          </c:spPr>
        </c:majorGridlines>
        <c:title>
          <c:tx>
            <c:rich>
              <a:bodyPr/>
              <a:lstStyle/>
              <a:p>
                <a:pPr lvl="0">
                  <a:defRPr b="0" sz="1000">
                    <a:solidFill>
                      <a:srgbClr val="000000"/>
                    </a:solidFill>
                    <a:latin typeface="+mn-lt"/>
                  </a:defRPr>
                </a:pPr>
                <a:r>
                  <a:rPr b="0" sz="1000">
                    <a:solidFill>
                      <a:srgbClr val="000000"/>
                    </a:solidFill>
                    <a:latin typeface="+mn-lt"/>
                  </a:rPr>
                  <a:t>Regional Price Parities (RPP) Index</a:t>
                </a:r>
              </a:p>
            </c:rich>
          </c:tx>
          <c:layout>
            <c:manualLayout>
              <c:xMode val="edge"/>
              <c:yMode val="edge"/>
              <c:x val="0.03091666666666667"/>
              <c:y val="0.25952380952380955"/>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63721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Home ownership rate Missouri vs Oklahoma (2021-2025)</a:t>
            </a:r>
          </a:p>
        </c:rich>
      </c:tx>
      <c:overlay val="0"/>
    </c:title>
    <c:plotArea>
      <c:layout/>
      <c:barChart>
        <c:barDir val="col"/>
        <c:ser>
          <c:idx val="0"/>
          <c:order val="0"/>
          <c:tx>
            <c:strRef>
              <c:f>'SOCIALcultural 1'!$B$4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'SOCIALcultural 1'!$A$5:$A$9</c:f>
            </c:strRef>
          </c:cat>
          <c:val>
            <c:numRef>
              <c:f>'SOCIALcultural 1'!$B$5:$B$9</c:f>
              <c:numCache/>
            </c:numRef>
          </c:val>
        </c:ser>
        <c:ser>
          <c:idx val="1"/>
          <c:order val="1"/>
          <c:tx>
            <c:strRef>
              <c:f>'SOCIALcultural 1'!$C$4</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'SOCIALcultural 1'!$A$5:$A$9</c:f>
            </c:strRef>
          </c:cat>
          <c:val>
            <c:numRef>
              <c:f>'SOCIALcultural 1'!$C$5:$C$9</c:f>
              <c:numCache/>
            </c:numRef>
          </c:val>
        </c:ser>
        <c:axId val="1158873644"/>
        <c:axId val="388494629"/>
      </c:barChart>
      <c:catAx>
        <c:axId val="1158873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8494629"/>
      </c:catAx>
      <c:valAx>
        <c:axId val="388494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887364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Annual Vehicle Miles of Travel – Missouri vs Oklahoma (2020–2023)</a:t>
            </a:r>
          </a:p>
        </c:rich>
      </c:tx>
      <c:overlay val="0"/>
    </c:title>
    <c:plotArea>
      <c:layout/>
      <c:lineChart>
        <c:ser>
          <c:idx val="0"/>
          <c:order val="0"/>
          <c:tx>
            <c:strRef>
              <c:f>'Tecnológico  Geográfico 1'!$B$3</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'Tecnológico  Geográfico 1'!$A$4:$A$7</c:f>
            </c:strRef>
          </c:cat>
          <c:val>
            <c:numRef>
              <c:f>'Tecnológico  Geográfico 1'!$B$4:$B$7</c:f>
              <c:numCache/>
            </c:numRef>
          </c:val>
          <c:smooth val="0"/>
        </c:ser>
        <c:ser>
          <c:idx val="1"/>
          <c:order val="1"/>
          <c:tx>
            <c:strRef>
              <c:f>'Tecnológico  Geográfico 1'!$C$3</c:f>
            </c:strRef>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'Tecnológico  Geográfico 1'!$A$4:$A$7</c:f>
            </c:strRef>
          </c:cat>
          <c:val>
            <c:numRef>
              <c:f>'Tecnológico  Geográfico 1'!$C$4:$C$7</c:f>
              <c:numCache/>
            </c:numRef>
          </c:val>
          <c:smooth val="0"/>
        </c:ser>
        <c:axId val="1148608374"/>
        <c:axId val="782669609"/>
      </c:lineChart>
      <c:catAx>
        <c:axId val="1148608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82669609"/>
      </c:catAx>
      <c:valAx>
        <c:axId val="782669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Annual vehicle-miles traveled, millions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860837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Internet Access on Farms – Missouri vs Oklahoma (2012–2022)
Percentage of farms with internet access</a:t>
            </a:r>
          </a:p>
        </c:rich>
      </c:tx>
      <c:overlay val="0"/>
    </c:title>
    <c:plotArea>
      <c:layout/>
      <c:barChart>
        <c:barDir val="col"/>
        <c:ser>
          <c:idx val="0"/>
          <c:order val="0"/>
          <c:tx>
            <c:strRef>
              <c:f>'Tecnológico  Geográfico 2'!$A$3</c:f>
            </c:strRef>
          </c:tx>
          <c:spPr>
            <a:solidFill>
              <a:schemeClr val="accent1"/>
            </a:solidFill>
            <a:ln cmpd="sng">
              <a:solidFill>
                <a:srgbClr val="000000"/>
              </a:solidFill>
            </a:ln>
          </c:spPr>
          <c:cat>
            <c:strRef>
              <c:f>('Tecnológico  Geográfico 2'!$B$3,'Tecnológico  Geográfico 2'!$C$3)</c:f>
            </c:strRef>
          </c:cat>
          <c:val>
            <c:numRef>
              <c:f>('Tecnológico  Geográfico 2'!$B$3,'Tecnológico  Geográfico 2'!$C$3)</c:f>
              <c:numCache/>
            </c:numRef>
          </c:val>
        </c:ser>
        <c:axId val="37758144"/>
        <c:axId val="1391844348"/>
      </c:barChart>
      <c:catAx>
        <c:axId val="37758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1844348"/>
      </c:catAx>
      <c:valAx>
        <c:axId val="1391844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75814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500">
                <a:solidFill>
                  <a:srgbClr val="757575"/>
                </a:solidFill>
                <a:latin typeface="+mn-lt"/>
              </a:defRPr>
            </a:pPr>
            <a:r>
              <a:rPr b="0" sz="1500">
                <a:solidFill>
                  <a:srgbClr val="757575"/>
                </a:solidFill>
                <a:latin typeface="+mn-lt"/>
              </a:rPr>
              <a:t>Number of Farms – Missouri vs Oklahoma</a:t>
            </a:r>
          </a:p>
        </c:rich>
      </c:tx>
      <c:overlay val="0"/>
    </c:title>
    <c:plotArea>
      <c:layout/>
      <c:barChart>
        <c:barDir val="col"/>
        <c:ser>
          <c:idx val="0"/>
          <c:order val="0"/>
          <c:tx>
            <c:v>Missouri</c:v>
          </c:tx>
          <c:spPr>
            <a:solidFill>
              <a:schemeClr val="accent1"/>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'Tecnológico  Geográfico 3'!$A$3</c:f>
            </c:strRef>
          </c:cat>
          <c:val>
            <c:numRef>
              <c:f>'Tecnológico  Geográfico 3'!$B$3</c:f>
              <c:numCache/>
            </c:numRef>
          </c:val>
        </c:ser>
        <c:ser>
          <c:idx val="1"/>
          <c:order val="1"/>
          <c:tx>
            <c:v>Oklahoma</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'Tecnológico  Geográfico 3'!$A$3</c:f>
            </c:strRef>
          </c:cat>
          <c:val>
            <c:numRef>
              <c:f>'Tecnológico  Geográfico 3'!$C$3</c:f>
              <c:numCache/>
            </c:numRef>
          </c:val>
        </c:ser>
        <c:ser>
          <c:idx val="2"/>
          <c:order val="2"/>
          <c:cat>
            <c:strRef>
              <c:f>'Tecnológico  Geográfico 3'!$A$3</c:f>
            </c:strRef>
          </c:cat>
          <c:val>
            <c:numRef>
              <c:f>'Tecnológico  Geográfico 3'!$A$4</c:f>
              <c:numCache/>
            </c:numRef>
          </c:val>
        </c:ser>
        <c:ser>
          <c:idx val="3"/>
          <c:order val="3"/>
          <c:cat>
            <c:strRef>
              <c:f>'Tecnológico  Geográfico 3'!$A$3</c:f>
            </c:strRef>
          </c:cat>
          <c:val>
            <c:numRef>
              <c:f>'Tecnológico  Geográfico 3'!$B$4</c:f>
              <c:numCache/>
            </c:numRef>
          </c:val>
        </c:ser>
        <c:ser>
          <c:idx val="4"/>
          <c:order val="4"/>
          <c:cat>
            <c:strRef>
              <c:f>'Tecnológico  Geográfico 3'!$A$3</c:f>
            </c:strRef>
          </c:cat>
          <c:val>
            <c:numRef>
              <c:f>'Tecnológico  Geográfico 3'!$C$4</c:f>
              <c:numCache/>
            </c:numRef>
          </c:val>
        </c:ser>
        <c:axId val="1040785516"/>
        <c:axId val="69678307"/>
      </c:barChart>
      <c:catAx>
        <c:axId val="1040785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Number of farms</a:t>
                </a:r>
              </a:p>
            </c:rich>
          </c:tx>
          <c:overlay val="0"/>
        </c:title>
        <c:numFmt formatCode="General" sourceLinked="1"/>
        <c:majorTickMark val="none"/>
        <c:minorTickMark val="none"/>
        <c:spPr/>
        <c:txPr>
          <a:bodyPr/>
          <a:lstStyle/>
          <a:p>
            <a:pPr lvl="0">
              <a:defRPr b="0">
                <a:solidFill>
                  <a:srgbClr val="000000"/>
                </a:solidFill>
                <a:latin typeface="+mn-lt"/>
              </a:defRPr>
            </a:pPr>
          </a:p>
        </c:txPr>
        <c:crossAx val="69678307"/>
      </c:catAx>
      <c:valAx>
        <c:axId val="696783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078551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500">
                <a:solidFill>
                  <a:srgbClr val="757575"/>
                </a:solidFill>
                <a:latin typeface="+mn-lt"/>
              </a:defRPr>
            </a:pPr>
            <a:r>
              <a:rPr b="0" sz="1500">
                <a:solidFill>
                  <a:srgbClr val="757575"/>
                </a:solidFill>
                <a:latin typeface="+mn-lt"/>
              </a:rPr>
              <a:t>Pastureland – Missouri vs Oklahoma</a:t>
            </a:r>
          </a:p>
        </c:rich>
      </c:tx>
      <c:overlay val="0"/>
    </c:title>
    <c:plotArea>
      <c:layout/>
      <c:barChart>
        <c:barDir val="col"/>
        <c:ser>
          <c:idx val="0"/>
          <c:order val="0"/>
          <c:tx>
            <c:v>Missouri</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'Tecnológico  Geográfico 3'!$A$3</c:f>
            </c:strRef>
          </c:cat>
          <c:val>
            <c:numRef>
              <c:f>'Tecnológico  Geográfico 3'!$B$3</c:f>
              <c:numCache/>
            </c:numRef>
          </c:val>
        </c:ser>
        <c:ser>
          <c:idx val="1"/>
          <c:order val="1"/>
          <c:tx>
            <c:v>Oklahoma</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'Tecnológico  Geográfico 3'!$A$3</c:f>
            </c:strRef>
          </c:cat>
          <c:val>
            <c:numRef>
              <c:f>'Tecnológico  Geográfico 3'!$C$3</c:f>
              <c:numCache/>
            </c:numRef>
          </c:val>
        </c:ser>
        <c:ser>
          <c:idx val="2"/>
          <c:order val="2"/>
          <c:cat>
            <c:strRef>
              <c:f>'Tecnológico  Geográfico 3'!$A$3</c:f>
            </c:strRef>
          </c:cat>
          <c:val>
            <c:numRef>
              <c:f>'Tecnológico  Geográfico 3'!$A$6</c:f>
              <c:numCache/>
            </c:numRef>
          </c:val>
        </c:ser>
        <c:ser>
          <c:idx val="3"/>
          <c:order val="3"/>
          <c:cat>
            <c:strRef>
              <c:f>'Tecnológico  Geográfico 3'!$A$3</c:f>
            </c:strRef>
          </c:cat>
          <c:val>
            <c:numRef>
              <c:f>'Tecnológico  Geográfico 3'!$B$6</c:f>
              <c:numCache/>
            </c:numRef>
          </c:val>
        </c:ser>
        <c:ser>
          <c:idx val="4"/>
          <c:order val="4"/>
          <c:cat>
            <c:strRef>
              <c:f>'Tecnológico  Geográfico 3'!$A$3</c:f>
            </c:strRef>
          </c:cat>
          <c:val>
            <c:numRef>
              <c:f>'Tecnológico  Geográfico 3'!$C$6</c:f>
              <c:numCache/>
            </c:numRef>
          </c:val>
        </c:ser>
        <c:axId val="274330354"/>
        <c:axId val="802656595"/>
      </c:barChart>
      <c:catAx>
        <c:axId val="2743303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Pastureland acres</a:t>
                </a:r>
              </a:p>
            </c:rich>
          </c:tx>
          <c:overlay val="0"/>
        </c:title>
        <c:numFmt formatCode="General" sourceLinked="1"/>
        <c:majorTickMark val="none"/>
        <c:minorTickMark val="none"/>
        <c:spPr/>
        <c:txPr>
          <a:bodyPr/>
          <a:lstStyle/>
          <a:p>
            <a:pPr lvl="0">
              <a:defRPr b="0">
                <a:solidFill>
                  <a:srgbClr val="000000"/>
                </a:solidFill>
                <a:latin typeface="+mn-lt"/>
              </a:defRPr>
            </a:pPr>
          </a:p>
        </c:txPr>
        <c:crossAx val="802656595"/>
      </c:catAx>
      <c:valAx>
        <c:axId val="802656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433035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10</xdr:row>
      <xdr:rowOff>142875</xdr:rowOff>
    </xdr:from>
    <xdr:ext cx="6276975" cy="38766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11</xdr:row>
      <xdr:rowOff>28575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xdr:row>
      <xdr:rowOff>0</xdr:rowOff>
    </xdr:from>
    <xdr:ext cx="6105525" cy="378142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8</xdr:row>
      <xdr:rowOff>133350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152400</xdr:rowOff>
    </xdr:from>
    <xdr:ext cx="3676650" cy="22764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819150</xdr:colOff>
      <xdr:row>7</xdr:row>
      <xdr:rowOff>219075</xdr:rowOff>
    </xdr:from>
    <xdr:ext cx="3743325" cy="2276475"/>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10</xdr:row>
      <xdr:rowOff>76200</xdr:rowOff>
    </xdr:from>
    <xdr:ext cx="5781675" cy="37338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9</xdr:row>
      <xdr:rowOff>28575</xdr:rowOff>
    </xdr:from>
    <xdr:ext cx="5562600" cy="36290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9</xdr:row>
      <xdr:rowOff>28575</xdr:rowOff>
    </xdr:from>
    <xdr:ext cx="5133975" cy="3733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15</xdr:row>
      <xdr:rowOff>190500</xdr:rowOff>
    </xdr:from>
    <xdr:ext cx="4762500" cy="2857500"/>
    <xdr:pic>
      <xdr:nvPicPr>
        <xdr:cNvPr id="717131105"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161925</xdr:rowOff>
    </xdr:from>
    <xdr:ext cx="5553075" cy="3400425"/>
    <xdr:pic>
      <xdr:nvPicPr>
        <xdr:cNvPr id="880302190" name="Chart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C9" displayName="Table_1" name="Table_1" id="1">
  <tableColumns count="2">
    <tableColumn name="Column1" id="1"/>
    <tableColumn name="Column2" id="2"/>
  </tableColumns>
  <tableStyleInfo name="SOCIALcultural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isg.bilgi.edu.tr/en/sayfa/cisg-tex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red.stlouisfed.org/series/MORPPALL" TargetMode="External"/><Relationship Id="rId2" Type="http://schemas.openxmlformats.org/officeDocument/2006/relationships/hyperlink" Target="https://fred.stlouisfed.org/series/RPPALL3642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red.stlouisfed.org/series/MOHOWN" TargetMode="External"/><Relationship Id="rId2" Type="http://schemas.openxmlformats.org/officeDocument/2006/relationships/hyperlink" Target="https://fred.stlouisfed.org/series/OKHOWN" TargetMode="External"/><Relationship Id="rId3" Type="http://schemas.openxmlformats.org/officeDocument/2006/relationships/drawing" Target="../drawings/drawing4.x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seecars.com/which-states-drive-the-most-pickup-trucks-study" TargetMode="External"/><Relationship Id="rId2" Type="http://schemas.openxmlformats.org/officeDocument/2006/relationships/hyperlink" Target="https://www.oscar-wilson.com/" TargetMode="External"/><Relationship Id="rId3" Type="http://schemas.openxmlformats.org/officeDocument/2006/relationships/hyperlink" Target="https://www.mikeslawnequipment.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tmr.com/report/north-america-electric-lawn-mower-market" TargetMode="External"/><Relationship Id="rId2" Type="http://schemas.openxmlformats.org/officeDocument/2006/relationships/hyperlink" Target="https://www.mordorintelligence.com/industry-reports/united-states-lawn-mowers-market" TargetMode="External"/><Relationship Id="rId3" Type="http://schemas.openxmlformats.org/officeDocument/2006/relationships/hyperlink" Target="https://www.grandviewresearch.com/industry-analysis/lawn-mowers-market"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hwa.dot.gov/policyinformation/statistics/2019/vm2.cfm?utm_source=chatgpt.com" TargetMode="External"/><Relationship Id="rId2" Type="http://schemas.openxmlformats.org/officeDocument/2006/relationships/hyperlink" Target="https://www.fhwa.dot.gov/policyinformation/statistics/2022/vm2.cf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ensus.gov/foreign-trade/statistics/state/index.html"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ustr.gov/map/state-benefits/m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ata.census.gov/"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d.mo.gov/programs/business/missouri-work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trade.gov/sites/default/files/2023-09/Missouri.pdf"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bea.gov/data/intl-trade-investment/direct-investment-country-and-industry"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5.88"/>
  </cols>
  <sheetData>
    <row r="1">
      <c r="A1" s="1" t="s">
        <v>0</v>
      </c>
    </row>
    <row r="2">
      <c r="A2" s="2" t="s">
        <v>1</v>
      </c>
    </row>
    <row r="3">
      <c r="A3" s="3"/>
      <c r="B3" s="3"/>
      <c r="C3" s="3"/>
      <c r="F3" s="2" t="s">
        <v>2</v>
      </c>
    </row>
    <row r="4">
      <c r="A4" s="3"/>
      <c r="B4" s="3"/>
      <c r="C4" s="3"/>
      <c r="F4" s="3" t="s">
        <v>3</v>
      </c>
    </row>
    <row r="5">
      <c r="A5" s="3"/>
      <c r="B5" s="3"/>
      <c r="C5" s="3"/>
      <c r="F5" s="3" t="s">
        <v>4</v>
      </c>
    </row>
    <row r="6">
      <c r="A6" s="3"/>
      <c r="B6" s="3"/>
      <c r="C6" s="3"/>
    </row>
    <row r="7">
      <c r="A7" s="3"/>
      <c r="B7" s="3"/>
      <c r="C7" s="3"/>
      <c r="F7" s="2" t="s">
        <v>5</v>
      </c>
    </row>
    <row r="8">
      <c r="A8" s="3"/>
      <c r="B8" s="3"/>
      <c r="C8" s="3"/>
      <c r="F8" s="4" t="s">
        <v>6</v>
      </c>
    </row>
    <row r="9">
      <c r="F9" s="2"/>
    </row>
    <row r="12">
      <c r="F12" s="5" t="s">
        <v>7</v>
      </c>
    </row>
    <row r="13">
      <c r="F13" s="6" t="s">
        <v>8</v>
      </c>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8:I8"/>
    <mergeCell ref="F9:I9"/>
  </mergeCells>
  <hyperlinks>
    <hyperlink r:id="rId1" ref="F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5.88"/>
  </cols>
  <sheetData>
    <row r="1">
      <c r="A1" s="1" t="s">
        <v>9</v>
      </c>
    </row>
    <row r="2">
      <c r="A2" s="2" t="s">
        <v>10</v>
      </c>
    </row>
    <row r="3">
      <c r="A3" s="3"/>
      <c r="B3" s="3"/>
      <c r="C3" s="3"/>
      <c r="F3" s="2" t="s">
        <v>2</v>
      </c>
    </row>
    <row r="4">
      <c r="A4" s="3"/>
      <c r="B4" s="7"/>
      <c r="C4" s="7"/>
      <c r="F4" s="3" t="s">
        <v>3</v>
      </c>
    </row>
    <row r="5">
      <c r="A5" s="3"/>
      <c r="B5" s="7"/>
      <c r="C5" s="7"/>
      <c r="F5" s="3" t="s">
        <v>11</v>
      </c>
    </row>
    <row r="6">
      <c r="A6" s="3"/>
      <c r="B6" s="7"/>
      <c r="C6" s="7"/>
    </row>
    <row r="7">
      <c r="A7" s="3"/>
      <c r="B7" s="7"/>
      <c r="C7" s="7"/>
    </row>
    <row r="8">
      <c r="A8" s="3"/>
      <c r="B8" s="3"/>
      <c r="C8" s="3"/>
      <c r="F8" s="2" t="s">
        <v>12</v>
      </c>
    </row>
    <row r="9">
      <c r="F9" s="8" t="s">
        <v>13</v>
      </c>
    </row>
    <row r="10">
      <c r="F10" s="8"/>
    </row>
    <row r="12">
      <c r="F12" s="5" t="s">
        <v>7</v>
      </c>
    </row>
    <row r="13">
      <c r="F13" s="6" t="s">
        <v>14</v>
      </c>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9:I9"/>
    <mergeCell ref="F10:I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25"/>
    <col customWidth="1" min="5" max="5" width="43.13"/>
    <col customWidth="1" min="6" max="6" width="35.5"/>
  </cols>
  <sheetData>
    <row r="1">
      <c r="A1" s="9" t="s">
        <v>15</v>
      </c>
      <c r="E1" s="10"/>
      <c r="F1" s="10"/>
      <c r="G1" s="10"/>
      <c r="H1" s="10"/>
      <c r="I1" s="10"/>
    </row>
    <row r="4">
      <c r="A4" s="11" t="s">
        <v>16</v>
      </c>
      <c r="B4" s="11" t="s">
        <v>17</v>
      </c>
      <c r="C4" s="11" t="s">
        <v>18</v>
      </c>
      <c r="E4" s="2" t="s">
        <v>2</v>
      </c>
    </row>
    <row r="5">
      <c r="A5" s="12">
        <v>2021.0</v>
      </c>
      <c r="B5" s="12">
        <v>92.012</v>
      </c>
      <c r="C5" s="12">
        <v>92.4</v>
      </c>
      <c r="E5" s="3" t="s">
        <v>3</v>
      </c>
    </row>
    <row r="6">
      <c r="A6" s="12">
        <v>2022.0</v>
      </c>
      <c r="B6" s="12">
        <v>90.991</v>
      </c>
      <c r="C6" s="12">
        <v>91.4</v>
      </c>
      <c r="E6" s="3" t="s">
        <v>19</v>
      </c>
    </row>
    <row r="7">
      <c r="A7" s="12">
        <v>2023.0</v>
      </c>
      <c r="B7" s="12">
        <v>91.104</v>
      </c>
      <c r="C7" s="12">
        <v>91.4</v>
      </c>
      <c r="E7" s="2"/>
      <c r="K7" s="2" t="s">
        <v>20</v>
      </c>
    </row>
    <row r="8">
      <c r="A8" s="12">
        <v>2024.0</v>
      </c>
      <c r="B8" s="12">
        <v>90.817</v>
      </c>
      <c r="C8" s="12">
        <v>87.8</v>
      </c>
      <c r="D8" s="6"/>
      <c r="E8" s="2" t="s">
        <v>5</v>
      </c>
    </row>
    <row r="9">
      <c r="A9" s="12">
        <v>2025.0</v>
      </c>
      <c r="B9" s="12" t="s">
        <v>21</v>
      </c>
      <c r="C9" s="12" t="s">
        <v>21</v>
      </c>
      <c r="D9" s="2"/>
      <c r="E9" s="13" t="s">
        <v>22</v>
      </c>
    </row>
    <row r="10">
      <c r="A10" s="2"/>
      <c r="B10" s="2"/>
      <c r="D10" s="2"/>
      <c r="E10" s="14" t="s">
        <v>23</v>
      </c>
    </row>
    <row r="11">
      <c r="A11" s="15"/>
      <c r="E11" s="6" t="s">
        <v>24</v>
      </c>
    </row>
    <row r="12">
      <c r="A12" s="16"/>
    </row>
    <row r="13">
      <c r="A13" s="17"/>
    </row>
    <row r="14">
      <c r="E14" s="2" t="s">
        <v>7</v>
      </c>
    </row>
    <row r="15">
      <c r="E15" s="6" t="s">
        <v>25</v>
      </c>
    </row>
  </sheetData>
  <mergeCells count="6">
    <mergeCell ref="A1:D1"/>
    <mergeCell ref="E9:G9"/>
    <mergeCell ref="E10:G10"/>
    <mergeCell ref="A11:C11"/>
    <mergeCell ref="A12:C12"/>
    <mergeCell ref="A13:C13"/>
  </mergeCells>
  <hyperlinks>
    <hyperlink r:id="rId1" ref="E9"/>
    <hyperlink r:id="rId2" ref="E1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25"/>
    <col customWidth="1" min="5" max="5" width="43.13"/>
    <col customWidth="1" min="6" max="6" width="87.25"/>
  </cols>
  <sheetData>
    <row r="1">
      <c r="A1" s="2" t="s">
        <v>26</v>
      </c>
      <c r="E1" s="10"/>
      <c r="F1" s="10"/>
      <c r="G1" s="10"/>
      <c r="H1" s="10"/>
      <c r="I1" s="10"/>
    </row>
    <row r="3">
      <c r="A3" s="9" t="s">
        <v>27</v>
      </c>
    </row>
    <row r="4">
      <c r="A4" s="18" t="s">
        <v>16</v>
      </c>
      <c r="B4" s="18" t="s">
        <v>17</v>
      </c>
      <c r="C4" s="18" t="s">
        <v>18</v>
      </c>
      <c r="E4" s="2" t="s">
        <v>2</v>
      </c>
    </row>
    <row r="5">
      <c r="A5" s="19">
        <v>2021.0</v>
      </c>
      <c r="B5" s="20">
        <v>72.8</v>
      </c>
      <c r="C5" s="21">
        <v>67.0</v>
      </c>
      <c r="E5" s="3" t="s">
        <v>3</v>
      </c>
    </row>
    <row r="6">
      <c r="A6" s="19">
        <v>2022.0</v>
      </c>
      <c r="B6" s="21">
        <v>70.6</v>
      </c>
      <c r="C6" s="21">
        <v>68.5</v>
      </c>
      <c r="E6" s="3" t="s">
        <v>28</v>
      </c>
    </row>
    <row r="7">
      <c r="A7" s="19">
        <v>2023.0</v>
      </c>
      <c r="B7" s="21">
        <v>68.7</v>
      </c>
      <c r="C7" s="22">
        <v>68.0</v>
      </c>
      <c r="K7" s="2" t="s">
        <v>20</v>
      </c>
    </row>
    <row r="8">
      <c r="A8" s="19">
        <v>2024.0</v>
      </c>
      <c r="B8" s="21">
        <v>70.5</v>
      </c>
      <c r="C8" s="22">
        <v>66.8</v>
      </c>
      <c r="D8" s="6"/>
      <c r="E8" s="2" t="s">
        <v>12</v>
      </c>
    </row>
    <row r="9">
      <c r="A9" s="19">
        <v>2025.0</v>
      </c>
      <c r="B9" s="21">
        <v>68.3</v>
      </c>
      <c r="C9" s="21">
        <v>63.8</v>
      </c>
      <c r="D9" s="2"/>
      <c r="E9" s="23" t="s">
        <v>29</v>
      </c>
    </row>
    <row r="10">
      <c r="A10" s="2"/>
      <c r="B10" s="2"/>
      <c r="D10" s="2"/>
      <c r="E10" s="23" t="s">
        <v>30</v>
      </c>
    </row>
    <row r="11">
      <c r="A11" s="15"/>
    </row>
    <row r="12">
      <c r="A12" s="16"/>
    </row>
    <row r="13">
      <c r="A13" s="17"/>
    </row>
    <row r="15">
      <c r="E15" s="2" t="s">
        <v>7</v>
      </c>
    </row>
    <row r="16">
      <c r="E16" s="24" t="s">
        <v>31</v>
      </c>
    </row>
    <row r="17">
      <c r="E17" s="25"/>
    </row>
  </sheetData>
  <mergeCells count="4">
    <mergeCell ref="A3:D3"/>
    <mergeCell ref="A11:C11"/>
    <mergeCell ref="A12:C12"/>
    <mergeCell ref="A13:C13"/>
  </mergeCells>
  <hyperlinks>
    <hyperlink r:id="rId1" ref="E9"/>
    <hyperlink r:id="rId2" ref="E10"/>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4" max="4" width="33.13"/>
    <col customWidth="1" min="6" max="6" width="46.0"/>
    <col customWidth="1" min="9" max="9" width="35.0"/>
  </cols>
  <sheetData>
    <row r="1">
      <c r="A1" s="1" t="s">
        <v>32</v>
      </c>
    </row>
    <row r="2">
      <c r="A2" s="26" t="s">
        <v>33</v>
      </c>
      <c r="B2" s="26"/>
      <c r="C2" s="26"/>
      <c r="D2" s="26"/>
      <c r="E2" s="26"/>
      <c r="F2" s="26"/>
      <c r="G2" s="26"/>
      <c r="H2" s="26"/>
      <c r="I2" s="26"/>
    </row>
    <row r="4">
      <c r="D4" s="2" t="s">
        <v>2</v>
      </c>
    </row>
    <row r="5">
      <c r="D5" s="3" t="s">
        <v>34</v>
      </c>
    </row>
    <row r="6">
      <c r="D6" s="3" t="s">
        <v>35</v>
      </c>
    </row>
    <row r="9">
      <c r="A9" s="2" t="s">
        <v>5</v>
      </c>
    </row>
    <row r="10">
      <c r="A10" s="23" t="s">
        <v>36</v>
      </c>
    </row>
    <row r="11">
      <c r="A11" s="27" t="s">
        <v>37</v>
      </c>
    </row>
    <row r="12">
      <c r="A12" s="27" t="s">
        <v>38</v>
      </c>
    </row>
    <row r="13">
      <c r="A13" s="5" t="s">
        <v>7</v>
      </c>
      <c r="J13" s="6"/>
    </row>
    <row r="14">
      <c r="A14" s="6" t="s">
        <v>39</v>
      </c>
      <c r="B14" s="6"/>
      <c r="C14" s="6"/>
      <c r="D14" s="6"/>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2">
    <mergeCell ref="A1:D1"/>
    <mergeCell ref="A10:D10"/>
  </mergeCells>
  <hyperlinks>
    <hyperlink r:id="rId1" ref="A10"/>
    <hyperlink r:id="rId2" ref="A11"/>
    <hyperlink r:id="rId3" ref="A1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4" max="4" width="33.13"/>
    <col customWidth="1" min="6" max="6" width="46.0"/>
    <col customWidth="1" min="8" max="8" width="4.5"/>
  </cols>
  <sheetData>
    <row r="1">
      <c r="A1" s="28" t="s">
        <v>40</v>
      </c>
      <c r="B1" s="29"/>
      <c r="C1" s="29"/>
      <c r="D1" s="29"/>
      <c r="E1" s="29"/>
      <c r="F1" s="29"/>
      <c r="G1" s="29"/>
      <c r="H1" s="30"/>
      <c r="I1" s="31"/>
      <c r="J1" s="31"/>
    </row>
    <row r="2">
      <c r="A2" s="6" t="s">
        <v>41</v>
      </c>
      <c r="B2" s="6"/>
      <c r="C2" s="6"/>
      <c r="D2" s="6"/>
      <c r="E2" s="6"/>
      <c r="F2" s="6"/>
      <c r="G2" s="6"/>
      <c r="H2" s="6"/>
    </row>
    <row r="3">
      <c r="B3" s="3"/>
      <c r="C3" s="3"/>
      <c r="D3" s="2" t="s">
        <v>2</v>
      </c>
    </row>
    <row r="4">
      <c r="A4" s="3"/>
      <c r="B4" s="32"/>
      <c r="C4" s="32"/>
      <c r="D4" s="3" t="s">
        <v>42</v>
      </c>
    </row>
    <row r="5">
      <c r="A5" s="3"/>
      <c r="B5" s="32"/>
      <c r="C5" s="32"/>
      <c r="D5" s="3" t="s">
        <v>35</v>
      </c>
    </row>
    <row r="6">
      <c r="A6" s="2" t="s">
        <v>5</v>
      </c>
    </row>
    <row r="7">
      <c r="A7" s="23" t="s">
        <v>43</v>
      </c>
    </row>
    <row r="8">
      <c r="A8" s="33" t="s">
        <v>44</v>
      </c>
    </row>
    <row r="9">
      <c r="A9" s="27" t="s">
        <v>45</v>
      </c>
    </row>
    <row r="10">
      <c r="A10" s="5" t="s">
        <v>7</v>
      </c>
    </row>
    <row r="11">
      <c r="A11" s="6" t="s">
        <v>46</v>
      </c>
      <c r="B11" s="6"/>
      <c r="C11" s="6"/>
      <c r="D11" s="6"/>
    </row>
    <row r="13">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1">
    <mergeCell ref="A7:D7"/>
  </mergeCells>
  <hyperlinks>
    <hyperlink r:id="rId1" ref="A7"/>
    <hyperlink r:id="rId2" ref="A8"/>
    <hyperlink r:id="rId3" ref="A9"/>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4" max="4" width="33.13"/>
    <col customWidth="1" min="6" max="6" width="46.0"/>
    <col customWidth="1" min="8" max="8" width="28.5"/>
  </cols>
  <sheetData>
    <row r="1">
      <c r="A1" s="1" t="s">
        <v>47</v>
      </c>
    </row>
    <row r="2">
      <c r="A2" s="6" t="s">
        <v>48</v>
      </c>
    </row>
    <row r="3">
      <c r="A3" s="34" t="s">
        <v>49</v>
      </c>
      <c r="B3" s="34" t="s">
        <v>17</v>
      </c>
      <c r="C3" s="34" t="s">
        <v>18</v>
      </c>
      <c r="F3" s="2" t="s">
        <v>2</v>
      </c>
      <c r="H3" s="6"/>
    </row>
    <row r="4">
      <c r="A4" s="35">
        <v>2020.0</v>
      </c>
      <c r="B4" s="36">
        <v>72797.0</v>
      </c>
      <c r="C4" s="36">
        <v>42000.0</v>
      </c>
      <c r="F4" s="3" t="s">
        <v>50</v>
      </c>
      <c r="G4" s="2">
        <v>5.0</v>
      </c>
    </row>
    <row r="5">
      <c r="A5" s="35">
        <v>2021.0</v>
      </c>
      <c r="B5" s="36">
        <v>79791.0</v>
      </c>
      <c r="C5" s="36">
        <v>44760.0</v>
      </c>
      <c r="F5" s="3" t="s">
        <v>51</v>
      </c>
      <c r="G5" s="2">
        <v>2.83</v>
      </c>
    </row>
    <row r="6">
      <c r="A6" s="35">
        <v>2022.0</v>
      </c>
      <c r="B6" s="36">
        <v>79431.0</v>
      </c>
      <c r="C6" s="36">
        <v>44566.0</v>
      </c>
    </row>
    <row r="7">
      <c r="A7" s="35">
        <v>2023.0</v>
      </c>
      <c r="B7" s="36">
        <v>80825.0</v>
      </c>
      <c r="C7" s="36">
        <v>45760.0</v>
      </c>
    </row>
    <row r="8">
      <c r="F8" s="23" t="s">
        <v>52</v>
      </c>
    </row>
    <row r="9">
      <c r="F9" s="23" t="s">
        <v>53</v>
      </c>
    </row>
    <row r="10">
      <c r="A10" s="8"/>
      <c r="H10" s="2" t="s">
        <v>54</v>
      </c>
    </row>
    <row r="11">
      <c r="F11" s="5" t="s">
        <v>7</v>
      </c>
      <c r="H11" s="2" t="s">
        <v>55</v>
      </c>
    </row>
    <row r="12">
      <c r="F12" s="6" t="s">
        <v>56</v>
      </c>
      <c r="G12" s="6"/>
      <c r="H12" s="37"/>
      <c r="I12" s="6"/>
      <c r="J12" s="6"/>
    </row>
    <row r="13">
      <c r="F13" s="6"/>
      <c r="G13" s="6"/>
      <c r="H13" s="38"/>
      <c r="I13" s="6"/>
      <c r="J13" s="6"/>
    </row>
    <row r="14">
      <c r="A14" s="6"/>
      <c r="F14" s="6"/>
      <c r="G14" s="6"/>
      <c r="H14" s="6"/>
      <c r="I14" s="6"/>
      <c r="J14" s="6"/>
    </row>
    <row r="15">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sheetData>
  <mergeCells count="3">
    <mergeCell ref="A1:D1"/>
    <mergeCell ref="F8:I8"/>
    <mergeCell ref="A10:D10"/>
  </mergeCells>
  <hyperlinks>
    <hyperlink r:id="rId1" ref="F8"/>
    <hyperlink r:id="rId2" ref="F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4" max="4" width="33.13"/>
    <col customWidth="1" min="6" max="6" width="46.0"/>
  </cols>
  <sheetData>
    <row r="1">
      <c r="A1" s="39" t="s">
        <v>57</v>
      </c>
    </row>
    <row r="2">
      <c r="A2" s="2" t="s">
        <v>58</v>
      </c>
    </row>
    <row r="3">
      <c r="A3" s="40" t="s">
        <v>59</v>
      </c>
      <c r="B3" s="40" t="s">
        <v>17</v>
      </c>
      <c r="C3" s="40" t="s">
        <v>18</v>
      </c>
      <c r="D3" s="1"/>
      <c r="F3" s="1" t="s">
        <v>2</v>
      </c>
      <c r="G3" s="2" t="s">
        <v>60</v>
      </c>
    </row>
    <row r="4">
      <c r="A4" s="35" t="s">
        <v>61</v>
      </c>
      <c r="B4" s="35">
        <v>70016.0</v>
      </c>
      <c r="C4" s="35">
        <v>54895.0</v>
      </c>
      <c r="D4" s="2"/>
      <c r="F4" s="3" t="s">
        <v>62</v>
      </c>
    </row>
    <row r="5">
      <c r="A5" s="35" t="s">
        <v>63</v>
      </c>
      <c r="B5" s="35">
        <v>79.7</v>
      </c>
      <c r="C5" s="35">
        <v>78.0</v>
      </c>
      <c r="D5" s="2"/>
      <c r="F5" s="3" t="s">
        <v>64</v>
      </c>
    </row>
    <row r="6">
      <c r="A6" s="35" t="s">
        <v>65</v>
      </c>
      <c r="B6" s="35">
        <v>87887.0</v>
      </c>
      <c r="C6" s="35">
        <v>70378.0</v>
      </c>
      <c r="D6" s="2"/>
    </row>
    <row r="7">
      <c r="A7" s="35" t="s">
        <v>66</v>
      </c>
      <c r="B7" s="35">
        <v>17871.0</v>
      </c>
      <c r="C7" s="35">
        <v>15483.0</v>
      </c>
      <c r="D7" s="2"/>
    </row>
    <row r="8">
      <c r="A8" s="16"/>
      <c r="B8" s="41"/>
      <c r="C8" s="41"/>
      <c r="D8" s="42"/>
      <c r="F8" s="2" t="s">
        <v>5</v>
      </c>
    </row>
    <row r="9">
      <c r="A9" s="2"/>
      <c r="B9" s="43"/>
      <c r="C9" s="43"/>
      <c r="D9" s="43"/>
      <c r="F9" s="2" t="s">
        <v>67</v>
      </c>
      <c r="G9" s="8"/>
      <c r="H9" s="8"/>
      <c r="I9" s="8"/>
    </row>
    <row r="10">
      <c r="A10" s="2"/>
      <c r="B10" s="2"/>
      <c r="C10" s="2"/>
      <c r="D10" s="2"/>
    </row>
    <row r="11">
      <c r="A11" s="8"/>
      <c r="F11" s="2" t="s">
        <v>68</v>
      </c>
    </row>
    <row r="12">
      <c r="F12" s="5" t="s">
        <v>7</v>
      </c>
    </row>
    <row r="13">
      <c r="F13" s="6" t="s">
        <v>69</v>
      </c>
      <c r="G13" s="6"/>
      <c r="H13" s="6"/>
      <c r="I13" s="6"/>
      <c r="J13" s="6"/>
    </row>
    <row r="14">
      <c r="D14" s="16" t="s">
        <v>70</v>
      </c>
      <c r="F14" s="6"/>
      <c r="G14" s="6"/>
      <c r="H14" s="6"/>
      <c r="I14" s="6"/>
      <c r="J14" s="6"/>
    </row>
    <row r="15">
      <c r="A15" s="16"/>
      <c r="D15" s="16"/>
      <c r="F15" s="6"/>
      <c r="G15" s="6"/>
      <c r="H15" s="6"/>
      <c r="I15" s="6"/>
      <c r="J15" s="6"/>
    </row>
    <row r="16">
      <c r="F16" s="6"/>
      <c r="G16" s="6"/>
      <c r="H16" s="6"/>
      <c r="I16" s="6"/>
      <c r="J16" s="6"/>
    </row>
    <row r="17">
      <c r="F17" s="6"/>
      <c r="G17" s="6"/>
      <c r="H17" s="6"/>
      <c r="I17" s="6"/>
      <c r="J17" s="6"/>
    </row>
    <row r="18">
      <c r="D18" s="16"/>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2">
    <mergeCell ref="A1:D1"/>
    <mergeCell ref="A11:D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4" max="4" width="33.13"/>
    <col customWidth="1" min="5" max="5" width="15.5"/>
    <col customWidth="1" min="6" max="6" width="62.13"/>
    <col customWidth="1" min="7" max="7" width="36.0"/>
  </cols>
  <sheetData>
    <row r="1">
      <c r="A1" s="1" t="s">
        <v>71</v>
      </c>
    </row>
    <row r="2">
      <c r="A2" s="2" t="s">
        <v>72</v>
      </c>
    </row>
    <row r="3">
      <c r="A3" s="34" t="s">
        <v>59</v>
      </c>
      <c r="B3" s="34" t="s">
        <v>17</v>
      </c>
      <c r="C3" s="34" t="s">
        <v>18</v>
      </c>
      <c r="F3" s="1" t="s">
        <v>2</v>
      </c>
      <c r="G3" s="6" t="s">
        <v>73</v>
      </c>
    </row>
    <row r="4">
      <c r="A4" s="35" t="s">
        <v>74</v>
      </c>
      <c r="B4" s="36">
        <v>87887.0</v>
      </c>
      <c r="C4" s="36">
        <v>70378.0</v>
      </c>
      <c r="F4" s="3" t="s">
        <v>3</v>
      </c>
    </row>
    <row r="5">
      <c r="A5" s="35" t="s">
        <v>75</v>
      </c>
      <c r="B5" s="36">
        <v>2.7026243E7</v>
      </c>
      <c r="C5" s="36">
        <v>3.2897563E7</v>
      </c>
      <c r="F5" s="3" t="s">
        <v>76</v>
      </c>
    </row>
    <row r="6">
      <c r="A6" s="35" t="s">
        <v>77</v>
      </c>
      <c r="B6" s="36">
        <v>6610302.0</v>
      </c>
      <c r="C6" s="36">
        <v>1.8736254E7</v>
      </c>
    </row>
    <row r="7">
      <c r="A7" s="44" t="s">
        <v>78</v>
      </c>
      <c r="B7" s="45">
        <v>308.0</v>
      </c>
      <c r="C7" s="45">
        <v>467.0</v>
      </c>
    </row>
    <row r="8">
      <c r="A8" s="46"/>
      <c r="B8" s="47"/>
      <c r="C8" s="47"/>
      <c r="F8" s="2" t="s">
        <v>79</v>
      </c>
      <c r="G8" s="6" t="s">
        <v>80</v>
      </c>
    </row>
    <row r="9">
      <c r="F9" s="8"/>
    </row>
    <row r="10">
      <c r="F10" s="5" t="s">
        <v>81</v>
      </c>
    </row>
    <row r="11">
      <c r="A11" s="8"/>
      <c r="F11" s="6" t="s">
        <v>82</v>
      </c>
    </row>
    <row r="12">
      <c r="A12" s="6" t="s">
        <v>83</v>
      </c>
      <c r="F12" s="5"/>
      <c r="G12" s="5"/>
    </row>
    <row r="13">
      <c r="F13" s="6"/>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4">
    <mergeCell ref="A1:D1"/>
    <mergeCell ref="F9:I9"/>
    <mergeCell ref="A11:D11"/>
    <mergeCell ref="A12:D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6.0"/>
  </cols>
  <sheetData>
    <row r="1">
      <c r="A1" s="1" t="s">
        <v>84</v>
      </c>
    </row>
    <row r="2">
      <c r="A2" s="2" t="s">
        <v>85</v>
      </c>
    </row>
    <row r="3">
      <c r="A3" s="34" t="s">
        <v>49</v>
      </c>
      <c r="B3" s="34" t="s">
        <v>17</v>
      </c>
      <c r="C3" s="34" t="s">
        <v>18</v>
      </c>
      <c r="F3" s="2" t="s">
        <v>2</v>
      </c>
    </row>
    <row r="4">
      <c r="A4" s="35">
        <v>2021.0</v>
      </c>
      <c r="B4" s="36" t="s">
        <v>86</v>
      </c>
      <c r="C4" s="36" t="s">
        <v>87</v>
      </c>
      <c r="F4" s="3" t="s">
        <v>88</v>
      </c>
    </row>
    <row r="5">
      <c r="A5" s="35">
        <v>2022.0</v>
      </c>
      <c r="B5" s="36" t="s">
        <v>89</v>
      </c>
      <c r="C5" s="36" t="s">
        <v>90</v>
      </c>
      <c r="F5" s="3" t="s">
        <v>91</v>
      </c>
    </row>
    <row r="6">
      <c r="A6" s="35">
        <v>2023.0</v>
      </c>
      <c r="B6" s="36" t="s">
        <v>92</v>
      </c>
      <c r="C6" s="36" t="s">
        <v>93</v>
      </c>
    </row>
    <row r="7">
      <c r="A7" s="44">
        <v>2024.0</v>
      </c>
      <c r="B7" s="45" t="s">
        <v>92</v>
      </c>
      <c r="C7" s="45" t="s">
        <v>94</v>
      </c>
    </row>
    <row r="8">
      <c r="A8" s="46"/>
      <c r="B8" s="48"/>
      <c r="C8" s="48"/>
      <c r="D8" s="49"/>
      <c r="F8" s="2" t="s">
        <v>5</v>
      </c>
    </row>
    <row r="9">
      <c r="F9" s="23" t="s">
        <v>95</v>
      </c>
    </row>
    <row r="11">
      <c r="A11" s="8"/>
    </row>
    <row r="12">
      <c r="F12" s="5" t="s">
        <v>7</v>
      </c>
    </row>
    <row r="13">
      <c r="F13" s="6" t="s">
        <v>96</v>
      </c>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9:I9"/>
    <mergeCell ref="A11:D11"/>
  </mergeCells>
  <hyperlinks>
    <hyperlink r:id="rId1" ref="F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3.88"/>
    <col customWidth="1" min="3" max="3" width="14.5"/>
    <col customWidth="1" min="4" max="4" width="33.13"/>
    <col customWidth="1" min="6" max="6" width="46.0"/>
  </cols>
  <sheetData>
    <row r="1">
      <c r="A1" s="1" t="s">
        <v>97</v>
      </c>
    </row>
    <row r="2">
      <c r="A2" s="2" t="s">
        <v>98</v>
      </c>
    </row>
    <row r="3">
      <c r="A3" s="34" t="s">
        <v>49</v>
      </c>
      <c r="B3" s="34" t="s">
        <v>99</v>
      </c>
      <c r="C3" s="34" t="s">
        <v>100</v>
      </c>
      <c r="F3" s="2" t="s">
        <v>2</v>
      </c>
    </row>
    <row r="4">
      <c r="A4" s="35">
        <v>2021.0</v>
      </c>
      <c r="B4" s="50">
        <v>0.037</v>
      </c>
      <c r="C4" s="50">
        <v>0.025</v>
      </c>
      <c r="F4" s="3" t="s">
        <v>88</v>
      </c>
    </row>
    <row r="5">
      <c r="A5" s="35">
        <v>2022.0</v>
      </c>
      <c r="B5" s="50">
        <v>0.041</v>
      </c>
      <c r="C5" s="50">
        <v>0.029</v>
      </c>
      <c r="F5" s="3" t="s">
        <v>101</v>
      </c>
    </row>
    <row r="6">
      <c r="A6" s="35">
        <v>2023.0</v>
      </c>
      <c r="B6" s="50">
        <v>0.04</v>
      </c>
      <c r="C6" s="50">
        <v>0.026</v>
      </c>
    </row>
    <row r="7">
      <c r="A7" s="44">
        <v>2024.0</v>
      </c>
      <c r="B7" s="51">
        <v>0.043</v>
      </c>
      <c r="C7" s="51">
        <v>0.029</v>
      </c>
    </row>
    <row r="8">
      <c r="A8" s="46"/>
      <c r="B8" s="48"/>
      <c r="C8" s="48"/>
      <c r="F8" s="2" t="s">
        <v>5</v>
      </c>
    </row>
    <row r="9">
      <c r="F9" s="23" t="s">
        <v>102</v>
      </c>
    </row>
    <row r="11">
      <c r="A11" s="8"/>
    </row>
    <row r="12">
      <c r="F12" s="5" t="s">
        <v>7</v>
      </c>
    </row>
    <row r="13">
      <c r="F13" s="6" t="s">
        <v>103</v>
      </c>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9:I9"/>
    <mergeCell ref="A11:D11"/>
  </mergeCells>
  <hyperlinks>
    <hyperlink r:id="rId1" ref="F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4" max="4" width="33.13"/>
    <col customWidth="1" min="6" max="6" width="46.0"/>
  </cols>
  <sheetData>
    <row r="1">
      <c r="A1" s="1" t="s">
        <v>104</v>
      </c>
    </row>
    <row r="2">
      <c r="A2" s="2" t="s">
        <v>105</v>
      </c>
    </row>
    <row r="3">
      <c r="A3" s="34" t="s">
        <v>106</v>
      </c>
      <c r="B3" s="34" t="s">
        <v>17</v>
      </c>
      <c r="C3" s="34" t="s">
        <v>18</v>
      </c>
      <c r="F3" s="2" t="s">
        <v>2</v>
      </c>
    </row>
    <row r="4">
      <c r="A4" s="35" t="s">
        <v>107</v>
      </c>
      <c r="B4" s="36">
        <v>99.0</v>
      </c>
      <c r="C4" s="36">
        <v>46.0</v>
      </c>
      <c r="F4" s="3" t="s">
        <v>108</v>
      </c>
    </row>
    <row r="5">
      <c r="A5" s="35" t="s">
        <v>109</v>
      </c>
      <c r="B5" s="36">
        <v>5842.0</v>
      </c>
      <c r="C5" s="36">
        <v>2974.0</v>
      </c>
      <c r="F5" s="3" t="s">
        <v>110</v>
      </c>
    </row>
    <row r="6">
      <c r="A6" s="35" t="s">
        <v>111</v>
      </c>
      <c r="B6" s="36" t="s">
        <v>112</v>
      </c>
      <c r="C6" s="36" t="s">
        <v>113</v>
      </c>
    </row>
    <row r="7">
      <c r="A7" s="44" t="s">
        <v>114</v>
      </c>
      <c r="B7" s="45" t="s">
        <v>115</v>
      </c>
      <c r="C7" s="45" t="s">
        <v>116</v>
      </c>
    </row>
    <row r="8">
      <c r="A8" s="46"/>
      <c r="B8" s="48"/>
      <c r="C8" s="48"/>
      <c r="F8" s="2" t="s">
        <v>5</v>
      </c>
    </row>
    <row r="9">
      <c r="F9" s="23" t="s">
        <v>117</v>
      </c>
    </row>
    <row r="11">
      <c r="A11" s="8"/>
    </row>
    <row r="12">
      <c r="F12" s="5" t="s">
        <v>7</v>
      </c>
    </row>
    <row r="13">
      <c r="F13" s="6" t="s">
        <v>118</v>
      </c>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9:I9"/>
    <mergeCell ref="A11:D11"/>
  </mergeCells>
  <hyperlinks>
    <hyperlink r:id="rId1" ref="F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7.63"/>
    <col customWidth="1" min="4" max="4" width="33.13"/>
    <col customWidth="1" min="6" max="6" width="49.0"/>
  </cols>
  <sheetData>
    <row r="1">
      <c r="A1" s="1" t="s">
        <v>119</v>
      </c>
    </row>
    <row r="2">
      <c r="A2" s="6" t="s">
        <v>120</v>
      </c>
      <c r="F2" s="52" t="s">
        <v>121</v>
      </c>
    </row>
    <row r="4">
      <c r="F4" s="23" t="s">
        <v>122</v>
      </c>
    </row>
    <row r="5">
      <c r="C5" s="3"/>
    </row>
    <row r="7">
      <c r="F7" s="5" t="s">
        <v>7</v>
      </c>
    </row>
    <row r="8">
      <c r="F8" s="6" t="s">
        <v>123</v>
      </c>
    </row>
    <row r="9">
      <c r="F9" s="8"/>
    </row>
    <row r="11">
      <c r="A11" s="8"/>
    </row>
    <row r="13">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9:I9"/>
    <mergeCell ref="A11:D11"/>
  </mergeCells>
  <hyperlinks>
    <hyperlink r:id="rId1" ref="F4"/>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6.0"/>
  </cols>
  <sheetData>
    <row r="1">
      <c r="A1" s="1" t="s">
        <v>124</v>
      </c>
    </row>
    <row r="2">
      <c r="A2" s="53" t="s">
        <v>125</v>
      </c>
      <c r="F2" s="2" t="s">
        <v>126</v>
      </c>
    </row>
    <row r="3">
      <c r="A3" s="54"/>
      <c r="F3" s="1"/>
    </row>
    <row r="4">
      <c r="F4" s="3"/>
    </row>
    <row r="5">
      <c r="F5" s="3"/>
    </row>
    <row r="8">
      <c r="F8" s="23" t="s">
        <v>127</v>
      </c>
    </row>
    <row r="9">
      <c r="C9" s="8"/>
    </row>
    <row r="10">
      <c r="F10" s="5" t="s">
        <v>7</v>
      </c>
    </row>
    <row r="11">
      <c r="A11" s="8"/>
      <c r="F11" s="6" t="s">
        <v>128</v>
      </c>
    </row>
    <row r="13">
      <c r="G13" s="6"/>
      <c r="H13" s="6"/>
      <c r="I13" s="6"/>
      <c r="J13" s="6"/>
    </row>
    <row r="14">
      <c r="F14" s="6"/>
      <c r="G14" s="6"/>
      <c r="H14" s="6"/>
      <c r="I14" s="6"/>
      <c r="J14" s="6"/>
    </row>
    <row r="15">
      <c r="A15" s="6"/>
      <c r="F15" s="6"/>
      <c r="G15" s="6"/>
      <c r="H15" s="6"/>
      <c r="I15" s="6"/>
      <c r="J15" s="6"/>
    </row>
    <row r="16">
      <c r="F16" s="6"/>
      <c r="G16" s="6"/>
      <c r="H16" s="6"/>
      <c r="I16" s="6"/>
      <c r="J16" s="6"/>
    </row>
    <row r="17">
      <c r="F17" s="6"/>
      <c r="G17" s="6"/>
      <c r="H17" s="6"/>
      <c r="I17" s="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C9:F9"/>
    <mergeCell ref="A11:D11"/>
  </mergeCells>
  <hyperlinks>
    <hyperlink r:id="rId1" ref="F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4" max="4" width="33.13"/>
    <col customWidth="1" min="6" max="6" width="46.0"/>
    <col customWidth="1" min="7" max="7" width="10.5"/>
    <col customWidth="1" min="8" max="9" width="25.5"/>
  </cols>
  <sheetData>
    <row r="1">
      <c r="A1" s="1" t="s">
        <v>129</v>
      </c>
    </row>
    <row r="2">
      <c r="A2" s="55" t="s">
        <v>130</v>
      </c>
      <c r="F2" s="2" t="s">
        <v>131</v>
      </c>
    </row>
    <row r="3">
      <c r="A3" s="54"/>
    </row>
    <row r="4">
      <c r="A4" s="34" t="s">
        <v>132</v>
      </c>
      <c r="B4" s="34" t="s">
        <v>17</v>
      </c>
      <c r="C4" s="34" t="s">
        <v>18</v>
      </c>
      <c r="F4" s="2" t="s">
        <v>5</v>
      </c>
    </row>
    <row r="5">
      <c r="A5" s="35" t="s">
        <v>133</v>
      </c>
      <c r="B5" s="36">
        <v>134300.0</v>
      </c>
      <c r="C5" s="36">
        <v>64700.0</v>
      </c>
      <c r="F5" s="23" t="s">
        <v>134</v>
      </c>
    </row>
    <row r="6">
      <c r="A6" s="35" t="s">
        <v>135</v>
      </c>
      <c r="B6" s="36">
        <v>57000.0</v>
      </c>
      <c r="C6" s="36">
        <v>51760.0</v>
      </c>
      <c r="F6" s="3"/>
    </row>
    <row r="7">
      <c r="F7" s="5" t="s">
        <v>7</v>
      </c>
    </row>
    <row r="8">
      <c r="F8" s="6" t="s">
        <v>136</v>
      </c>
    </row>
    <row r="11">
      <c r="A11" s="8"/>
    </row>
    <row r="12">
      <c r="G12" s="56"/>
      <c r="H12" s="56"/>
      <c r="I12" s="56"/>
    </row>
    <row r="13">
      <c r="G13" s="56"/>
      <c r="H13" s="56"/>
      <c r="I13" s="56"/>
      <c r="J13" s="6"/>
    </row>
    <row r="14">
      <c r="F14" s="6"/>
      <c r="G14" s="56"/>
      <c r="H14" s="56"/>
      <c r="I14" s="56"/>
      <c r="J14" s="6"/>
    </row>
    <row r="15">
      <c r="A15" s="6"/>
      <c r="F15" s="6"/>
      <c r="G15" s="56"/>
      <c r="H15" s="56"/>
      <c r="I15" s="56"/>
      <c r="J15" s="6"/>
    </row>
    <row r="16">
      <c r="F16" s="6"/>
      <c r="G16" s="56"/>
      <c r="H16" s="56"/>
      <c r="I16" s="56"/>
      <c r="J16" s="6"/>
    </row>
    <row r="17">
      <c r="F17" s="6"/>
      <c r="G17" s="56"/>
      <c r="H17" s="56"/>
      <c r="I17" s="56"/>
      <c r="J17" s="6"/>
    </row>
    <row r="18">
      <c r="F18" s="6"/>
      <c r="G18" s="6"/>
      <c r="H18" s="6"/>
      <c r="I18" s="6"/>
      <c r="J18" s="6"/>
    </row>
    <row r="19">
      <c r="F19" s="6"/>
      <c r="G19" s="6"/>
      <c r="H19" s="6"/>
      <c r="I19" s="6"/>
      <c r="J19" s="6"/>
    </row>
    <row r="20">
      <c r="F20" s="6"/>
      <c r="G20" s="6"/>
      <c r="H20" s="6"/>
      <c r="I20" s="6"/>
      <c r="J20" s="6"/>
    </row>
    <row r="21">
      <c r="F21" s="6"/>
      <c r="G21" s="6"/>
      <c r="H21" s="6"/>
      <c r="I21" s="6"/>
      <c r="J21" s="6"/>
    </row>
    <row r="22">
      <c r="F22" s="6"/>
      <c r="G22" s="6"/>
      <c r="H22" s="6"/>
      <c r="I22" s="6"/>
      <c r="J22" s="6"/>
    </row>
    <row r="23">
      <c r="F23" s="6"/>
      <c r="G23" s="6"/>
      <c r="H23" s="6"/>
      <c r="I23" s="6"/>
      <c r="J23" s="6"/>
    </row>
  </sheetData>
  <mergeCells count="3">
    <mergeCell ref="A1:D1"/>
    <mergeCell ref="F5:I5"/>
    <mergeCell ref="A11:D11"/>
  </mergeCells>
  <hyperlinks>
    <hyperlink r:id="rId1" ref="F5"/>
  </hyperlinks>
  <drawing r:id="rId2"/>
</worksheet>
</file>